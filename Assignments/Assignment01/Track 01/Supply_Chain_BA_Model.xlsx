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Inputs" sheetId="2" state="visible" r:id="rId2"/>
    <sheet xmlns:r="http://schemas.openxmlformats.org/officeDocument/2006/relationships" name="Q5_2Way_DataTable" sheetId="3" state="visible" r:id="rId3"/>
    <sheet xmlns:r="http://schemas.openxmlformats.org/officeDocument/2006/relationships" name="Q6_Max_Shipping_Cost" sheetId="4" state="visible" r:id="rId4"/>
    <sheet xmlns:r="http://schemas.openxmlformats.org/officeDocument/2006/relationships" name="Q7_Carrying_Cost" sheetId="5" state="visible" r:id="rId5"/>
    <sheet xmlns:r="http://schemas.openxmlformats.org/officeDocument/2006/relationships" name="README_Excel_Tools" sheetId="6" state="visible" r:id="rId6"/>
  </sheets>
  <definedNames>
    <definedName name="AVG_REVENUE">Inputs!$B$6</definedName>
    <definedName name="AVG_COGS">Inputs!$B$7</definedName>
    <definedName name="AVG_SHIP">Inputs!$B$8</definedName>
    <definedName name="SHIP_BASE">Inputs!$B$9</definedName>
    <definedName name="SHIP_SLOPE">Inputs!$B$10</definedName>
    <definedName name="AVG_QTY">Inputs!$B$11</definedName>
    <definedName name="AVG_PRICE_UNIT">Inputs!$B$12</definedName>
    <definedName name="AVG_COGS_UNIT">Inputs!$B$13</definedName>
    <definedName name="AVG_DISC">Inputs!$B$14</definedName>
    <definedName name="TARGET_PROFIT">Inputs!$B$15</definedName>
    <definedName name="RATE_OPT">Q7_Carrying_Cost!$B$6</definedName>
    <definedName name="RATE_ML">Q7_Carrying_Cost!$B$7</definedName>
    <definedName name="RATE_PESS">Q7_Carrying_Cost!$B$8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.0000"/>
    <numFmt numFmtId="165" formatCode="$#,##0.00"/>
    <numFmt numFmtId="166" formatCode="$#,##0.0000"/>
    <numFmt numFmtId="167" formatCode="$#,##0.00;[Red]-$#,##0.00"/>
    <numFmt numFmtId="168" formatCode="$#,##0"/>
  </numFmts>
  <fonts count="12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b val="1"/>
      <color rgb="001F2D5C"/>
      <sz val="11"/>
    </font>
    <font>
      <name val="Arial"/>
      <b val="1"/>
      <color rgb="00FFFFFF"/>
      <sz val="13"/>
    </font>
    <font>
      <name val="Arial"/>
      <b val="1"/>
      <sz val="10"/>
    </font>
    <font>
      <name val="Arial"/>
      <b val="1"/>
      <color rgb="00FFFFFF"/>
      <sz val="10"/>
    </font>
    <font>
      <name val="Arial"/>
      <b val="1"/>
      <color rgb="001F2D5C"/>
      <sz val="10"/>
    </font>
    <font>
      <name val="Arial"/>
      <sz val="10"/>
    </font>
    <font>
      <name val="Arial"/>
      <i val="1"/>
      <color rgb="00555555"/>
      <sz val="9"/>
    </font>
    <font>
      <name val="Arial"/>
      <b val="1"/>
      <color rgb="00FFFFFF"/>
      <sz val="11"/>
    </font>
    <font>
      <name val="Arial"/>
      <b val="1"/>
      <color rgb="00006100"/>
      <sz val="11"/>
    </font>
    <font>
      <name val="Arial"/>
      <b val="1"/>
      <color rgb="00C00000"/>
      <sz val="11"/>
    </font>
  </fonts>
  <fills count="10">
    <fill>
      <patternFill/>
    </fill>
    <fill>
      <patternFill patternType="gray125"/>
    </fill>
    <fill>
      <patternFill patternType="solid">
        <fgColor rgb="001F2D5C"/>
      </patternFill>
    </fill>
    <fill>
      <patternFill patternType="solid">
        <fgColor rgb="002A9D8F"/>
      </patternFill>
    </fill>
    <fill>
      <patternFill patternType="solid">
        <fgColor rgb="00264653"/>
      </patternFill>
    </fill>
    <fill>
      <patternFill patternType="solid">
        <fgColor rgb="00F4F1EA"/>
      </patternFill>
    </fill>
    <fill>
      <patternFill patternType="solid">
        <fgColor rgb="00FFF3B0"/>
      </patternFill>
    </fill>
    <fill>
      <patternFill patternType="solid">
        <fgColor rgb="00E9F5F2"/>
      </patternFill>
    </fill>
    <fill>
      <patternFill patternType="solid">
        <fgColor rgb="00E76F51"/>
      </patternFill>
    </fill>
    <fill>
      <patternFill patternType="solid">
        <fgColor rgb="00C6EFCE"/>
      </patternFill>
    </fill>
  </fills>
  <borders count="6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  <border>
      <left/>
      <right/>
      <top style="thin">
        <color rgb="00808080"/>
      </top>
      <bottom/>
      <diagonal/>
    </border>
    <border>
      <left/>
      <right style="thin">
        <color rgb="00808080"/>
      </right>
      <top style="thin">
        <color rgb="00808080"/>
      </top>
      <bottom/>
      <diagonal/>
    </border>
    <border>
      <left/>
      <right/>
      <top style="thin">
        <color rgb="00808080"/>
      </top>
      <bottom style="thin">
        <color rgb="00808080"/>
      </bottom>
      <diagonal/>
    </border>
    <border>
      <left/>
      <right style="thin">
        <color rgb="00808080"/>
      </right>
      <top style="thin">
        <color rgb="00808080"/>
      </top>
      <bottom style="thin">
        <color rgb="00808080"/>
      </bottom>
      <diagonal/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3" borderId="0" pivotButton="0" quotePrefix="0" xfId="0"/>
    <xf numFmtId="0" fontId="5" fillId="4" borderId="0" applyAlignment="1" pivotButton="0" quotePrefix="0" xfId="0">
      <alignment horizontal="center" vertical="center" wrapText="1"/>
    </xf>
    <xf numFmtId="0" fontId="6" fillId="5" borderId="1" pivotButton="0" quotePrefix="0" xfId="0"/>
    <xf numFmtId="0" fontId="7" fillId="5" borderId="1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6" borderId="0" pivotButton="0" quotePrefix="0" xfId="0"/>
    <xf numFmtId="0" fontId="7" fillId="0" borderId="0" pivotButton="0" quotePrefix="0" xfId="0"/>
    <xf numFmtId="0" fontId="0" fillId="7" borderId="0" pivotButton="0" quotePrefix="0" xfId="0"/>
    <xf numFmtId="0" fontId="5" fillId="8" borderId="0" pivotButton="0" quotePrefix="0" xfId="0"/>
    <xf numFmtId="0" fontId="8" fillId="0" borderId="0" pivotButton="0" quotePrefix="0" xfId="0"/>
    <xf numFmtId="0" fontId="5" fillId="4" borderId="1" applyAlignment="1" pivotButton="0" quotePrefix="0" xfId="0">
      <alignment horizontal="center" vertical="center" wrapText="1"/>
    </xf>
    <xf numFmtId="0" fontId="4" fillId="5" borderId="1" pivotButton="0" quotePrefix="0" xfId="0"/>
    <xf numFmtId="165" fontId="7" fillId="6" borderId="1" applyAlignment="1" pivotButton="0" quotePrefix="0" xfId="0">
      <alignment horizontal="right" vertical="center"/>
    </xf>
    <xf numFmtId="166" fontId="7" fillId="6" borderId="1" applyAlignment="1" pivotButton="0" quotePrefix="0" xfId="0">
      <alignment horizontal="right" vertical="center"/>
    </xf>
    <xf numFmtId="10" fontId="7" fillId="6" borderId="1" applyAlignment="1" pivotButton="0" quotePrefix="0" xfId="0">
      <alignment horizontal="right" vertical="center"/>
    </xf>
    <xf numFmtId="164" fontId="7" fillId="6" borderId="1" applyAlignment="1" pivotButton="0" quotePrefix="0" xfId="0">
      <alignment horizontal="right" vertical="center"/>
    </xf>
    <xf numFmtId="9" fontId="5" fillId="4" borderId="1" applyAlignment="1" pivotButton="0" quotePrefix="0" xfId="0">
      <alignment horizontal="center" vertical="center" wrapText="1"/>
    </xf>
    <xf numFmtId="167" fontId="0" fillId="7" borderId="1" applyAlignment="1" pivotButton="0" quotePrefix="0" xfId="0">
      <alignment horizontal="center" vertical="center" wrapText="1"/>
    </xf>
    <xf numFmtId="0" fontId="7" fillId="7" borderId="0" applyAlignment="1" pivotButton="0" quotePrefix="0" xfId="0">
      <alignment horizontal="left" vertical="center" wrapText="1"/>
    </xf>
    <xf numFmtId="165" fontId="7" fillId="7" borderId="0" pivotButton="0" quotePrefix="0" xfId="0"/>
    <xf numFmtId="1" fontId="7" fillId="7" borderId="0" pivotButton="0" quotePrefix="0" xfId="0"/>
    <xf numFmtId="0" fontId="9" fillId="3" borderId="0" pivotButton="0" quotePrefix="0" xfId="0"/>
    <xf numFmtId="165" fontId="7" fillId="7" borderId="1" pivotButton="0" quotePrefix="0" xfId="0"/>
    <xf numFmtId="0" fontId="8" fillId="5" borderId="1" pivotButton="0" quotePrefix="0" xfId="0"/>
    <xf numFmtId="10" fontId="7" fillId="7" borderId="1" pivotButton="0" quotePrefix="0" xfId="0"/>
    <xf numFmtId="0" fontId="7" fillId="0" borderId="1" pivotButton="0" quotePrefix="0" xfId="0"/>
    <xf numFmtId="165" fontId="10" fillId="9" borderId="1" pivotButton="0" quotePrefix="0" xfId="0"/>
    <xf numFmtId="165" fontId="7" fillId="6" borderId="1" pivotButton="0" quotePrefix="0" xfId="0"/>
    <xf numFmtId="0" fontId="4" fillId="0" borderId="1" pivotButton="0" quotePrefix="0" xfId="0"/>
    <xf numFmtId="9" fontId="0" fillId="6" borderId="1" pivotButton="0" quotePrefix="0" xfId="0"/>
    <xf numFmtId="3" fontId="7" fillId="0" borderId="1" pivotButton="0" quotePrefix="0" xfId="0"/>
    <xf numFmtId="165" fontId="7" fillId="0" borderId="1" pivotButton="0" quotePrefix="0" xfId="0"/>
    <xf numFmtId="168" fontId="7" fillId="0" borderId="1" pivotButton="0" quotePrefix="0" xfId="0"/>
    <xf numFmtId="168" fontId="0" fillId="0" borderId="1" pivotButton="0" quotePrefix="0" xfId="0"/>
    <xf numFmtId="0" fontId="0" fillId="0" borderId="1" applyAlignment="1" pivotButton="0" quotePrefix="0" xfId="0">
      <alignment horizontal="center" vertical="center" wrapText="1"/>
    </xf>
    <xf numFmtId="0" fontId="4" fillId="0" borderId="0" pivotButton="0" quotePrefix="0" xfId="0"/>
    <xf numFmtId="0" fontId="11" fillId="7" borderId="0" pivotButton="0" quotePrefix="0" xfId="0"/>
    <xf numFmtId="168" fontId="0" fillId="7" borderId="0" pivotButton="0" quotePrefix="0" xfId="0"/>
    <xf numFmtId="0" fontId="7" fillId="5" borderId="1" applyAlignment="1" pivotButton="0" quotePrefix="0" xfId="0">
      <alignment horizontal="left" vertical="center" wrapText="1"/>
    </xf>
  </cellXfs>
  <cellStyles count="1">
    <cellStyle name="Normal" xfId="0" builtinId="0" hidden="0"/>
  </cellStyles>
  <dxfs count="1">
    <dxf>
      <font>
        <name val="Arial"/>
        <b val="1"/>
        <color rgb="00FFFFFF"/>
        <sz val="10"/>
      </font>
      <fill>
        <patternFill patternType="solid">
          <fgColor rgb="00E76F51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22" customWidth="1" min="1" max="1"/>
    <col width="26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 ht="32" customHeight="1">
      <c r="A1" s="1" t="inlineStr">
        <is>
          <t>Supply Chain Margin-Leakage — Business Analytics Model</t>
        </is>
      </c>
    </row>
    <row r="3">
      <c r="A3" s="2" t="inlineStr">
        <is>
          <t>Meritshot EdTech  •  DataCo Global Case Study</t>
        </is>
      </c>
    </row>
    <row r="5">
      <c r="A5" s="3" t="inlineStr">
        <is>
          <t>Sheet navigation</t>
        </is>
      </c>
    </row>
    <row r="6">
      <c r="A6" s="4" t="inlineStr">
        <is>
          <t>Sheet</t>
        </is>
      </c>
      <c r="B6" s="4" t="inlineStr">
        <is>
          <t>Purpose</t>
        </is>
      </c>
    </row>
    <row r="7">
      <c r="A7" s="5" t="inlineStr">
        <is>
          <t>Inputs</t>
        </is>
      </c>
      <c r="B7" s="6" t="inlineStr">
        <is>
          <t>All parameters (Q5 / Q6 / Q7) — editable yellow cells</t>
        </is>
      </c>
      <c r="C7" s="7" t="n"/>
      <c r="D7" s="7" t="n"/>
      <c r="E7" s="7" t="n"/>
      <c r="F7" s="8" t="n"/>
    </row>
    <row r="8">
      <c r="A8" s="5" t="inlineStr">
        <is>
          <t>Q5_2Way_DataTable</t>
        </is>
      </c>
      <c r="B8" s="6" t="inlineStr">
        <is>
          <t>Lead Time × Discount Rate → Net Margin per order</t>
        </is>
      </c>
      <c r="C8" s="7" t="n"/>
      <c r="D8" s="7" t="n"/>
      <c r="E8" s="7" t="n"/>
      <c r="F8" s="8" t="n"/>
    </row>
    <row r="9">
      <c r="A9" s="5" t="inlineStr">
        <is>
          <t>Q6_Max_Shipping_Cost</t>
        </is>
      </c>
      <c r="B9" s="6" t="inlineStr">
        <is>
          <t>Max allowable Shipping Cost for $15 target net profit (Goal Seek)</t>
        </is>
      </c>
      <c r="C9" s="7" t="n"/>
      <c r="D9" s="7" t="n"/>
      <c r="E9" s="7" t="n"/>
      <c r="F9" s="8" t="n"/>
    </row>
    <row r="10">
      <c r="A10" s="5" t="inlineStr">
        <is>
          <t>Q7_Carrying_Cost</t>
        </is>
      </c>
      <c r="B10" s="6" t="inlineStr">
        <is>
          <t>Quarterly inventory carrying cost — 3 scenarios</t>
        </is>
      </c>
      <c r="C10" s="7" t="n"/>
      <c r="D10" s="7" t="n"/>
      <c r="E10" s="7" t="n"/>
      <c r="F10" s="8" t="n"/>
    </row>
    <row r="11">
      <c r="A11" s="5" t="inlineStr">
        <is>
          <t>README_Excel_Tools</t>
        </is>
      </c>
      <c r="B11" s="6" t="inlineStr">
        <is>
          <t>How to run Data-Table / Goal-Seek / Scenario-Manager in Excel</t>
        </is>
      </c>
      <c r="C11" s="7" t="n"/>
      <c r="D11" s="7" t="n"/>
      <c r="E11" s="7" t="n"/>
      <c r="F11" s="8" t="n"/>
    </row>
    <row r="14">
      <c r="A14" s="2" t="inlineStr">
        <is>
          <t>Colour key</t>
        </is>
      </c>
    </row>
    <row r="15">
      <c r="A15" s="9" t="inlineStr">
        <is>
          <t>Yellow cells</t>
        </is>
      </c>
      <c r="B15" s="10" t="inlineStr">
        <is>
          <t>Editable input — change and the whole model recalculates</t>
        </is>
      </c>
    </row>
    <row r="16">
      <c r="A16" s="11" t="inlineStr">
        <is>
          <t>Mint cells</t>
        </is>
      </c>
      <c r="B16" s="10" t="inlineStr">
        <is>
          <t>Formula-driven output</t>
        </is>
      </c>
    </row>
    <row r="17">
      <c r="A17" s="12" t="inlineStr">
        <is>
          <t>Orange cells</t>
        </is>
      </c>
      <c r="B17" s="10" t="inlineStr">
        <is>
          <t>Red-flag (e.g. negative margin, threshold breach)</t>
        </is>
      </c>
    </row>
  </sheetData>
  <mergeCells count="8">
    <mergeCell ref="B7:F7"/>
    <mergeCell ref="B10:F10"/>
    <mergeCell ref="A1:F1"/>
    <mergeCell ref="A5:F5"/>
    <mergeCell ref="B11:F11"/>
    <mergeCell ref="B8:F8"/>
    <mergeCell ref="A3:F3"/>
    <mergeCell ref="B9:F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42" customWidth="1" min="1" max="1"/>
    <col width="16" customWidth="1" min="2" max="2"/>
    <col width="12" customWidth="1" min="3" max="3"/>
    <col width="14" customWidth="1" min="4" max="4"/>
  </cols>
  <sheetData>
    <row r="1" ht="32" customHeight="1">
      <c r="A1" s="1" t="inlineStr">
        <is>
          <t>Model Inputs — derived from DataCoSupplyChainDataset.csv</t>
        </is>
      </c>
    </row>
    <row r="3">
      <c r="A3" s="13" t="inlineStr">
        <is>
          <t>All values below are pulled from the cleaned 180,519-row dataset.</t>
        </is>
      </c>
    </row>
    <row r="5">
      <c r="A5" s="14" t="inlineStr">
        <is>
          <t>Parameter</t>
        </is>
      </c>
      <c r="B5" s="14" t="inlineStr">
        <is>
          <t>Value</t>
        </is>
      </c>
      <c r="C5" s="14" t="inlineStr">
        <is>
          <t>Unit</t>
        </is>
      </c>
      <c r="D5" s="14" t="inlineStr">
        <is>
          <t>Used by</t>
        </is>
      </c>
    </row>
    <row r="6">
      <c r="A6" s="15" t="inlineStr">
        <is>
          <t>Avg Order Revenue (Sales per order)</t>
        </is>
      </c>
      <c r="B6" s="16" t="n">
        <v>203.7720960861729</v>
      </c>
      <c r="C6" s="6" t="inlineStr">
        <is>
          <t>$</t>
        </is>
      </c>
      <c r="D6" s="6" t="inlineStr">
        <is>
          <t>Q5</t>
        </is>
      </c>
    </row>
    <row r="7">
      <c r="A7" s="15" t="inlineStr">
        <is>
          <t>Avg COGS per order (ex-shipping)</t>
        </is>
      </c>
      <c r="B7" s="16" t="n">
        <v>164.9962143559929</v>
      </c>
      <c r="C7" s="6" t="inlineStr">
        <is>
          <t>$</t>
        </is>
      </c>
      <c r="D7" s="6" t="inlineStr">
        <is>
          <t>Q5</t>
        </is>
      </c>
    </row>
    <row r="8">
      <c r="A8" s="15" t="inlineStr">
        <is>
          <t>Avg Shipping Cost</t>
        </is>
      </c>
      <c r="B8" s="16" t="n">
        <v>16.80089309158593</v>
      </c>
      <c r="C8" s="6" t="inlineStr">
        <is>
          <t>$</t>
        </is>
      </c>
      <c r="D8" s="6" t="inlineStr">
        <is>
          <t>Q5, Q6</t>
        </is>
      </c>
    </row>
    <row r="9">
      <c r="A9" s="15" t="inlineStr">
        <is>
          <t>Shipping-cost intercept (base)</t>
        </is>
      </c>
      <c r="B9" s="16" t="n">
        <v>21.54795112549617</v>
      </c>
      <c r="C9" s="6" t="inlineStr">
        <is>
          <t>$</t>
        </is>
      </c>
      <c r="D9" s="6" t="inlineStr">
        <is>
          <t>Q5</t>
        </is>
      </c>
    </row>
    <row r="10">
      <c r="A10" s="15" t="inlineStr">
        <is>
          <t>Shipping-cost slope / day</t>
        </is>
      </c>
      <c r="B10" s="17" t="n">
        <v>1.5</v>
      </c>
      <c r="C10" s="6" t="inlineStr">
        <is>
          <t>$ / day</t>
        </is>
      </c>
      <c r="D10" s="6" t="inlineStr">
        <is>
          <t>Q5</t>
        </is>
      </c>
    </row>
    <row r="11">
      <c r="A11" s="15" t="inlineStr">
        <is>
          <t>Avg Order Quantity</t>
        </is>
      </c>
      <c r="B11" s="18" t="n">
        <v>2.127637533999191</v>
      </c>
      <c r="C11" s="6" t="inlineStr">
        <is>
          <t>units</t>
        </is>
      </c>
      <c r="D11" s="6" t="inlineStr">
        <is>
          <t>Q5, Q6</t>
        </is>
      </c>
    </row>
    <row r="12">
      <c r="A12" s="15" t="inlineStr">
        <is>
          <t>Avg Product Price per unit</t>
        </is>
      </c>
      <c r="B12" s="19" t="n">
        <v>141.2325499287007</v>
      </c>
      <c r="C12" s="6" t="inlineStr">
        <is>
          <t>$ / unit</t>
        </is>
      </c>
      <c r="D12" s="6" t="inlineStr">
        <is>
          <t>Q6</t>
        </is>
      </c>
    </row>
    <row r="13">
      <c r="A13" s="15" t="inlineStr">
        <is>
          <t>Avg COGS per unit</t>
        </is>
      </c>
      <c r="B13" s="16" t="n">
        <v>77.54902407923757</v>
      </c>
      <c r="C13" s="6" t="inlineStr">
        <is>
          <t>$ / unit</t>
        </is>
      </c>
      <c r="D13" s="6" t="inlineStr">
        <is>
          <t>Q6</t>
        </is>
      </c>
    </row>
    <row r="14">
      <c r="A14" s="15" t="inlineStr">
        <is>
          <t>Avg Discount Rate</t>
        </is>
      </c>
      <c r="B14" s="16" t="n">
        <v>0.101668190552025</v>
      </c>
      <c r="C14" s="6" t="inlineStr">
        <is>
          <t>ratio</t>
        </is>
      </c>
      <c r="D14" s="6" t="inlineStr">
        <is>
          <t>Q6</t>
        </is>
      </c>
    </row>
    <row r="15">
      <c r="A15" s="15" t="inlineStr">
        <is>
          <t>Target Net Profit per unit (Q6)</t>
        </is>
      </c>
      <c r="B15" s="16" t="n">
        <v>15</v>
      </c>
      <c r="C15" s="6" t="inlineStr">
        <is>
          <t>$ / unit</t>
        </is>
      </c>
      <c r="D15" s="6" t="inlineStr">
        <is>
          <t>Q6</t>
        </is>
      </c>
    </row>
  </sheetData>
  <mergeCells count="2">
    <mergeCell ref="A1:D1"/>
    <mergeCell ref="A3:D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4" customWidth="1" min="8" max="8"/>
    <col width="4" customWidth="1" min="9" max="9"/>
    <col width="38" customWidth="1" min="10" max="10"/>
  </cols>
  <sheetData>
    <row r="1" ht="32" customHeight="1">
      <c r="A1" s="1" t="inlineStr">
        <is>
          <t>Q5 — Net Margin per order : Lead Time × Discount Rate</t>
        </is>
      </c>
    </row>
    <row r="3">
      <c r="A3" s="13" t="inlineStr">
        <is>
          <t>Model formula (per order):  Net Margin  =  Sales × (1 − Discount) −  COGS  −  (SHIP_BASE + SHIP_SLOPE × Lead Time)</t>
        </is>
      </c>
    </row>
    <row r="5">
      <c r="A5" s="4" t="inlineStr">
        <is>
          <t>Lead Time (days) ▼   Discount Rate ▶</t>
        </is>
      </c>
      <c r="B5" s="20" t="n">
        <v>0</v>
      </c>
      <c r="C5" s="20" t="n">
        <v>0.04</v>
      </c>
      <c r="D5" s="20" t="n">
        <v>0.08</v>
      </c>
      <c r="E5" s="20" t="n">
        <v>0.14</v>
      </c>
      <c r="F5" s="20" t="n">
        <v>0.2</v>
      </c>
      <c r="G5" s="20" t="n">
        <v>0.25</v>
      </c>
      <c r="J5" s="2" t="inlineStr">
        <is>
          <t>First negative-margin combination (red-flag zone)</t>
        </is>
      </c>
    </row>
    <row r="6">
      <c r="A6" s="14" t="n">
        <v>1</v>
      </c>
      <c r="B6" s="21">
        <f>AVG_REVENUE*(1-B$5)-AVG_COGS-(SHIP_BASE+SHIP_SLOPE*$A6)</f>
        <v/>
      </c>
      <c r="C6" s="21">
        <f>AVG_REVENUE*(1-C$5)-AVG_COGS-(SHIP_BASE+SHIP_SLOPE*$A6)</f>
        <v/>
      </c>
      <c r="D6" s="21">
        <f>AVG_REVENUE*(1-D$5)-AVG_COGS-(SHIP_BASE+SHIP_SLOPE*$A6)</f>
        <v/>
      </c>
      <c r="E6" s="21">
        <f>AVG_REVENUE*(1-E$5)-AVG_COGS-(SHIP_BASE+SHIP_SLOPE*$A6)</f>
        <v/>
      </c>
      <c r="F6" s="21">
        <f>AVG_REVENUE*(1-F$5)-AVG_COGS-(SHIP_BASE+SHIP_SLOPE*$A6)</f>
        <v/>
      </c>
      <c r="G6" s="21">
        <f>AVG_REVENUE*(1-G$5)-AVG_COGS-(SHIP_BASE+SHIP_SLOPE*$A6)</f>
        <v/>
      </c>
      <c r="J6" s="22">
        <f>IFERROR("Discount " &amp; TEXT(INDEX($B$5:$G$5,MATCH(TRUE,INDEX($B$6:$G$6&lt;0,0),0)),"0%") &amp; " @ Lead Time 1 day","None at LT=1")</f>
        <v/>
      </c>
    </row>
    <row r="7">
      <c r="A7" s="14" t="n">
        <v>2</v>
      </c>
      <c r="B7" s="21">
        <f>AVG_REVENUE*(1-B$5)-AVG_COGS-(SHIP_BASE+SHIP_SLOPE*$A7)</f>
        <v/>
      </c>
      <c r="C7" s="21">
        <f>AVG_REVENUE*(1-C$5)-AVG_COGS-(SHIP_BASE+SHIP_SLOPE*$A7)</f>
        <v/>
      </c>
      <c r="D7" s="21">
        <f>AVG_REVENUE*(1-D$5)-AVG_COGS-(SHIP_BASE+SHIP_SLOPE*$A7)</f>
        <v/>
      </c>
      <c r="E7" s="21">
        <f>AVG_REVENUE*(1-E$5)-AVG_COGS-(SHIP_BASE+SHIP_SLOPE*$A7)</f>
        <v/>
      </c>
      <c r="F7" s="21">
        <f>AVG_REVENUE*(1-F$5)-AVG_COGS-(SHIP_BASE+SHIP_SLOPE*$A7)</f>
        <v/>
      </c>
      <c r="G7" s="21">
        <f>AVG_REVENUE*(1-G$5)-AVG_COGS-(SHIP_BASE+SHIP_SLOPE*$A7)</f>
        <v/>
      </c>
      <c r="J7" s="2" t="inlineStr">
        <is>
          <t>Best case (max Net Margin $)</t>
        </is>
      </c>
    </row>
    <row r="8">
      <c r="A8" s="14" t="n">
        <v>3</v>
      </c>
      <c r="B8" s="21">
        <f>AVG_REVENUE*(1-B$5)-AVG_COGS-(SHIP_BASE+SHIP_SLOPE*$A8)</f>
        <v/>
      </c>
      <c r="C8" s="21">
        <f>AVG_REVENUE*(1-C$5)-AVG_COGS-(SHIP_BASE+SHIP_SLOPE*$A8)</f>
        <v/>
      </c>
      <c r="D8" s="21">
        <f>AVG_REVENUE*(1-D$5)-AVG_COGS-(SHIP_BASE+SHIP_SLOPE*$A8)</f>
        <v/>
      </c>
      <c r="E8" s="21">
        <f>AVG_REVENUE*(1-E$5)-AVG_COGS-(SHIP_BASE+SHIP_SLOPE*$A8)</f>
        <v/>
      </c>
      <c r="F8" s="21">
        <f>AVG_REVENUE*(1-F$5)-AVG_COGS-(SHIP_BASE+SHIP_SLOPE*$A8)</f>
        <v/>
      </c>
      <c r="G8" s="21">
        <f>AVG_REVENUE*(1-G$5)-AVG_COGS-(SHIP_BASE+SHIP_SLOPE*$A8)</f>
        <v/>
      </c>
      <c r="J8" s="23">
        <f>MAX(B6:G11)</f>
        <v/>
      </c>
    </row>
    <row r="9">
      <c r="A9" s="14" t="n">
        <v>4</v>
      </c>
      <c r="B9" s="21">
        <f>AVG_REVENUE*(1-B$5)-AVG_COGS-(SHIP_BASE+SHIP_SLOPE*$A9)</f>
        <v/>
      </c>
      <c r="C9" s="21">
        <f>AVG_REVENUE*(1-C$5)-AVG_COGS-(SHIP_BASE+SHIP_SLOPE*$A9)</f>
        <v/>
      </c>
      <c r="D9" s="21">
        <f>AVG_REVENUE*(1-D$5)-AVG_COGS-(SHIP_BASE+SHIP_SLOPE*$A9)</f>
        <v/>
      </c>
      <c r="E9" s="21">
        <f>AVG_REVENUE*(1-E$5)-AVG_COGS-(SHIP_BASE+SHIP_SLOPE*$A9)</f>
        <v/>
      </c>
      <c r="F9" s="21">
        <f>AVG_REVENUE*(1-F$5)-AVG_COGS-(SHIP_BASE+SHIP_SLOPE*$A9)</f>
        <v/>
      </c>
      <c r="G9" s="21">
        <f>AVG_REVENUE*(1-G$5)-AVG_COGS-(SHIP_BASE+SHIP_SLOPE*$A9)</f>
        <v/>
      </c>
      <c r="J9" s="2" t="inlineStr">
        <is>
          <t>Worst case (min Net Margin $)</t>
        </is>
      </c>
    </row>
    <row r="10">
      <c r="A10" s="14" t="n">
        <v>5</v>
      </c>
      <c r="B10" s="21">
        <f>AVG_REVENUE*(1-B$5)-AVG_COGS-(SHIP_BASE+SHIP_SLOPE*$A10)</f>
        <v/>
      </c>
      <c r="C10" s="21">
        <f>AVG_REVENUE*(1-C$5)-AVG_COGS-(SHIP_BASE+SHIP_SLOPE*$A10)</f>
        <v/>
      </c>
      <c r="D10" s="21">
        <f>AVG_REVENUE*(1-D$5)-AVG_COGS-(SHIP_BASE+SHIP_SLOPE*$A10)</f>
        <v/>
      </c>
      <c r="E10" s="21">
        <f>AVG_REVENUE*(1-E$5)-AVG_COGS-(SHIP_BASE+SHIP_SLOPE*$A10)</f>
        <v/>
      </c>
      <c r="F10" s="21">
        <f>AVG_REVENUE*(1-F$5)-AVG_COGS-(SHIP_BASE+SHIP_SLOPE*$A10)</f>
        <v/>
      </c>
      <c r="G10" s="21">
        <f>AVG_REVENUE*(1-G$5)-AVG_COGS-(SHIP_BASE+SHIP_SLOPE*$A10)</f>
        <v/>
      </c>
      <c r="J10" s="23">
        <f>MIN(B6:G11)</f>
        <v/>
      </c>
    </row>
    <row r="11">
      <c r="A11" s="14" t="n">
        <v>6</v>
      </c>
      <c r="B11" s="21">
        <f>AVG_REVENUE*(1-B$5)-AVG_COGS-(SHIP_BASE+SHIP_SLOPE*$A11)</f>
        <v/>
      </c>
      <c r="C11" s="21">
        <f>AVG_REVENUE*(1-C$5)-AVG_COGS-(SHIP_BASE+SHIP_SLOPE*$A11)</f>
        <v/>
      </c>
      <c r="D11" s="21">
        <f>AVG_REVENUE*(1-D$5)-AVG_COGS-(SHIP_BASE+SHIP_SLOPE*$A11)</f>
        <v/>
      </c>
      <c r="E11" s="21">
        <f>AVG_REVENUE*(1-E$5)-AVG_COGS-(SHIP_BASE+SHIP_SLOPE*$A11)</f>
        <v/>
      </c>
      <c r="F11" s="21">
        <f>AVG_REVENUE*(1-F$5)-AVG_COGS-(SHIP_BASE+SHIP_SLOPE*$A11)</f>
        <v/>
      </c>
      <c r="G11" s="21">
        <f>AVG_REVENUE*(1-G$5)-AVG_COGS-(SHIP_BASE+SHIP_SLOPE*$A11)</f>
        <v/>
      </c>
      <c r="J11" s="2" t="inlineStr">
        <is>
          <t># of negative-margin combinations</t>
        </is>
      </c>
    </row>
    <row r="12">
      <c r="J12" s="24">
        <f>COUNTIF(B6:G11,"&lt;0")</f>
        <v/>
      </c>
    </row>
    <row r="14">
      <c r="A14" s="25" t="inlineStr">
        <is>
          <t>How to convert this into Excel's native Data Table feature</t>
        </is>
      </c>
    </row>
    <row r="15">
      <c r="A15" s="10" t="inlineStr">
        <is>
          <t>1. On a scratch area, put the Net-Margin formula in a single cell referencing two "input" cells — one for Lead Time, one for Discount Rate.</t>
        </is>
      </c>
    </row>
    <row r="16">
      <c r="A16" s="10" t="inlineStr">
        <is>
          <t>2. Build a 6×6 grid with Lead Times 1-6 down column A and Discount Rates 0%-25% across row 1.</t>
        </is>
      </c>
    </row>
    <row r="17">
      <c r="A17" s="10" t="inlineStr">
        <is>
          <t>3. In the top-left corner of the grid, put the formula  =scratch_cell.</t>
        </is>
      </c>
    </row>
    <row r="18">
      <c r="A18" s="10" t="inlineStr">
        <is>
          <t>4. Select the entire 7×7 range (incl. headers).</t>
        </is>
      </c>
    </row>
    <row r="19">
      <c r="A19" s="10" t="inlineStr">
        <is>
          <t>5. Go to Data → What-If Analysis → Data Table.</t>
        </is>
      </c>
    </row>
    <row r="20">
      <c r="A20" s="10" t="inlineStr">
        <is>
          <t>6. Row input cell = Discount-Rate input cell ; Column input cell = Lead-Time input cell ; click OK.</t>
        </is>
      </c>
    </row>
    <row r="21">
      <c r="A21" s="10" t="inlineStr">
        <is>
          <t>7. Excel will fill the grid using the TABLE(row_input, col_input) array formula.</t>
        </is>
      </c>
    </row>
    <row r="22">
      <c r="A22" s="10" t="inlineStr">
        <is>
          <t>The formula-driven grid above produces identical numbers — the Data-Table feature is simply a shortcut.</t>
        </is>
      </c>
    </row>
  </sheetData>
  <mergeCells count="11">
    <mergeCell ref="A15:I15"/>
    <mergeCell ref="A19:I19"/>
    <mergeCell ref="A14:I14"/>
    <mergeCell ref="A1:I1"/>
    <mergeCell ref="A17:I17"/>
    <mergeCell ref="A18:I18"/>
    <mergeCell ref="A3:I3"/>
    <mergeCell ref="A22:I22"/>
    <mergeCell ref="A20:I20"/>
    <mergeCell ref="A21:I21"/>
    <mergeCell ref="A16:I16"/>
  </mergeCells>
  <conditionalFormatting sqref="B6:G11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  <cfRule type="cellIs" priority="2" operator="lessThan" dxfId="0">
      <formula>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46" customWidth="1" min="1" max="1"/>
    <col width="16" customWidth="1" min="2" max="2"/>
    <col width="28" customWidth="1" min="3" max="3"/>
  </cols>
  <sheetData>
    <row r="1" ht="32" customHeight="1">
      <c r="A1" s="1" t="inlineStr">
        <is>
          <t>Q6 — Maximum Allowable Shipping Cost for $15 Net Profit per unit</t>
        </is>
      </c>
    </row>
    <row r="3">
      <c r="A3" s="13" t="inlineStr">
        <is>
          <t>Model (per unit):  Net Profit  =  Price × (1 − Discount) − COGS − Shipping Cost</t>
        </is>
      </c>
    </row>
    <row r="5">
      <c r="A5" s="14" t="inlineStr">
        <is>
          <t>Parameter</t>
        </is>
      </c>
      <c r="B5" s="14" t="inlineStr">
        <is>
          <t>Value</t>
        </is>
      </c>
      <c r="C5" s="14" t="inlineStr">
        <is>
          <t>Source</t>
        </is>
      </c>
    </row>
    <row r="6">
      <c r="A6" s="15" t="inlineStr">
        <is>
          <t>Avg Product Price per unit</t>
        </is>
      </c>
      <c r="B6" s="26">
        <f>AVG_PRICE_UNIT</f>
        <v/>
      </c>
      <c r="C6" s="27" t="inlineStr">
        <is>
          <t>Inputs</t>
        </is>
      </c>
    </row>
    <row r="7">
      <c r="A7" s="15" t="inlineStr">
        <is>
          <t>Avg Discount Rate</t>
        </is>
      </c>
      <c r="B7" s="28">
        <f>AVG_DISC</f>
        <v/>
      </c>
      <c r="C7" s="27" t="inlineStr">
        <is>
          <t>Inputs</t>
        </is>
      </c>
    </row>
    <row r="8">
      <c r="A8" s="15" t="inlineStr">
        <is>
          <t>Avg COGS per unit</t>
        </is>
      </c>
      <c r="B8" s="26">
        <f>AVG_COGS_UNIT</f>
        <v/>
      </c>
      <c r="C8" s="27" t="inlineStr">
        <is>
          <t>Inputs</t>
        </is>
      </c>
    </row>
    <row r="9">
      <c r="A9" s="15" t="inlineStr">
        <is>
          <t>Target Net Profit per unit</t>
        </is>
      </c>
      <c r="B9" s="26">
        <f>TARGET_PROFIT</f>
        <v/>
      </c>
      <c r="C9" s="27" t="inlineStr">
        <is>
          <t>Inputs (editable)</t>
        </is>
      </c>
    </row>
    <row r="10">
      <c r="A10" s="15" t="inlineStr"/>
      <c r="B10" s="29" t="inlineStr"/>
      <c r="C10" s="27" t="inlineStr"/>
    </row>
    <row r="11">
      <c r="A11" s="15" t="inlineStr">
        <is>
          <t>Max allowable Shipping Cost per unit (analytical)</t>
        </is>
      </c>
      <c r="B11" s="30">
        <f>B6*(1-B7)-B8-B9</f>
        <v/>
      </c>
      <c r="C11" s="27" t="inlineStr">
        <is>
          <t>Formula</t>
        </is>
      </c>
    </row>
    <row r="12">
      <c r="A12" s="15" t="inlineStr">
        <is>
          <t>Max allowable Shipping Cost per ORDER  (× avg qty)</t>
        </is>
      </c>
      <c r="B12" s="26">
        <f>B11*AVG_QTY</f>
        <v/>
      </c>
      <c r="C12" s="27" t="inlineStr">
        <is>
          <t>Formula</t>
        </is>
      </c>
    </row>
    <row r="13">
      <c r="A13" s="15" t="inlineStr"/>
      <c r="B13" s="29" t="inlineStr"/>
      <c r="C13" s="27" t="inlineStr"/>
    </row>
    <row r="14">
      <c r="A14" s="15" t="inlineStr">
        <is>
          <t>Goal-Seek workspace</t>
        </is>
      </c>
      <c r="B14" s="29" t="inlineStr"/>
      <c r="C14" s="27" t="inlineStr"/>
    </row>
    <row r="15">
      <c r="A15" s="15" t="inlineStr">
        <is>
          <t>Shipping Cost per unit (changing cell)</t>
        </is>
      </c>
      <c r="B15" s="31" t="inlineStr">
        <is>
          <t>7.8965</t>
        </is>
      </c>
      <c r="C15" s="27" t="inlineStr">
        <is>
          <t>Seed value — Goal Seek will adjust</t>
        </is>
      </c>
    </row>
    <row r="16">
      <c r="A16" s="15" t="inlineStr">
        <is>
          <t>Resulting Net Profit per unit (target cell)</t>
        </is>
      </c>
      <c r="B16" s="26">
        <f>B6*(1-B7)-B8-B15</f>
        <v/>
      </c>
      <c r="C16" s="27" t="inlineStr">
        <is>
          <t>Formula</t>
        </is>
      </c>
    </row>
    <row r="18">
      <c r="A18" s="25" t="inlineStr">
        <is>
          <t>How to reproduce with Excel Goal Seek</t>
        </is>
      </c>
    </row>
    <row r="19">
      <c r="A19" s="10" t="inlineStr">
        <is>
          <t>1.  Data → What-If Analysis → Goal Seek</t>
        </is>
      </c>
    </row>
    <row r="20">
      <c r="A20" s="10" t="inlineStr">
        <is>
          <t>2.  Set cell:        $B$16   (Resulting Net Profit per unit)</t>
        </is>
      </c>
    </row>
    <row r="21">
      <c r="A21" s="10" t="inlineStr">
        <is>
          <t>3.  To value:         15        (Target Net Profit per unit)</t>
        </is>
      </c>
    </row>
    <row r="22">
      <c r="A22" s="10" t="inlineStr">
        <is>
          <t>4.  By changing cell: $B$15   (Shipping Cost per unit)</t>
        </is>
      </c>
    </row>
    <row r="23">
      <c r="A23" s="10" t="inlineStr">
        <is>
          <t>5.  Click OK.   Cell B15 will converge to the same value the analytical formula in B11 produces.</t>
        </is>
      </c>
    </row>
    <row r="24">
      <c r="A24" s="10" t="inlineStr">
        <is>
          <t>The analytical answer and the Goal-Seek answer should match to the cent.</t>
        </is>
      </c>
    </row>
  </sheetData>
  <mergeCells count="9">
    <mergeCell ref="A19:C19"/>
    <mergeCell ref="A1:C1"/>
    <mergeCell ref="A23:C23"/>
    <mergeCell ref="A22:C22"/>
    <mergeCell ref="A18:C18"/>
    <mergeCell ref="A3:C3"/>
    <mergeCell ref="A21:C21"/>
    <mergeCell ref="A20:C20"/>
    <mergeCell ref="A24:C2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cols>
    <col width="14" customWidth="1" min="1" max="1"/>
    <col width="11" customWidth="1" min="2" max="2"/>
    <col width="16" customWidth="1" min="3" max="3"/>
    <col width="22" customWidth="1" min="4" max="4"/>
    <col width="22" customWidth="1" min="5" max="5"/>
    <col width="22" customWidth="1" min="6" max="6"/>
    <col width="22" customWidth="1" min="7" max="7"/>
    <col width="15" customWidth="1" min="8" max="8"/>
  </cols>
  <sheetData>
    <row r="1" ht="32" customHeight="1">
      <c r="A1" s="1" t="inlineStr">
        <is>
          <t>Q7 — Quarterly Inventory Carrying Cost  (3 Scenarios)</t>
        </is>
      </c>
    </row>
    <row r="3">
      <c r="A3" s="13" t="inlineStr">
        <is>
          <t>Inventory Value Base  =  Σ Order Item Total per quarter (the capital tied up in that quarter's inventory flow).  Annual Carrying Cost  =  Inventory Value × Rate.  Threshold under pessimistic = $500,000.</t>
        </is>
      </c>
    </row>
    <row r="5">
      <c r="A5" s="14" t="inlineStr">
        <is>
          <t>Scenario</t>
        </is>
      </c>
      <c r="B5" s="14" t="inlineStr">
        <is>
          <t>Rate</t>
        </is>
      </c>
      <c r="C5" s="14" t="inlineStr">
        <is>
          <t>Description</t>
        </is>
      </c>
    </row>
    <row r="6">
      <c r="A6" s="32" t="inlineStr">
        <is>
          <t>Optimistic</t>
        </is>
      </c>
      <c r="B6" s="33" t="n">
        <v>0.18</v>
      </c>
      <c r="C6" s="29" t="inlineStr">
        <is>
          <t>low interest, fast turnover</t>
        </is>
      </c>
    </row>
    <row r="7">
      <c r="A7" s="32" t="inlineStr">
        <is>
          <t>Most Likely</t>
        </is>
      </c>
      <c r="B7" s="33" t="n">
        <v>0.24</v>
      </c>
      <c r="C7" s="29" t="inlineStr">
        <is>
          <t>industry standard</t>
        </is>
      </c>
    </row>
    <row r="8">
      <c r="A8" s="32" t="inlineStr">
        <is>
          <t>Pessimistic</t>
        </is>
      </c>
      <c r="B8" s="33" t="n">
        <v>0.32</v>
      </c>
      <c r="C8" s="29" t="inlineStr">
        <is>
          <t>high inflation, slow turnover</t>
        </is>
      </c>
    </row>
    <row r="11">
      <c r="A11" s="14" t="inlineStr">
        <is>
          <t>Quarter</t>
        </is>
      </c>
      <c r="B11" s="14" t="inlineStr">
        <is>
          <t># Orders</t>
        </is>
      </c>
      <c r="C11" s="14" t="inlineStr">
        <is>
          <t>Avg Order Total</t>
        </is>
      </c>
      <c r="D11" s="14" t="inlineStr">
        <is>
          <t>Inventory Value Base</t>
        </is>
      </c>
      <c r="E11" s="14" t="inlineStr">
        <is>
          <t>Carrying Cost  (Opt 18%)</t>
        </is>
      </c>
      <c r="F11" s="14" t="inlineStr">
        <is>
          <t>Carrying Cost (ML 24%)</t>
        </is>
      </c>
      <c r="G11" s="14" t="inlineStr">
        <is>
          <t>Carrying Cost (Pess 32%)</t>
        </is>
      </c>
      <c r="H11" s="14" t="inlineStr">
        <is>
          <t>Pess &gt; $500K ?</t>
        </is>
      </c>
    </row>
    <row r="12">
      <c r="A12" s="32" t="inlineStr">
        <is>
          <t>2015Q1</t>
        </is>
      </c>
      <c r="B12" s="34" t="n">
        <v>15413</v>
      </c>
      <c r="C12" s="35" t="n">
        <v>176.6330175994226</v>
      </c>
      <c r="D12" s="36" t="n">
        <v>2722444.700259901</v>
      </c>
      <c r="E12" s="37">
        <f>D12*RATE_OPT</f>
        <v/>
      </c>
      <c r="F12" s="37">
        <f>D12*RATE_ML</f>
        <v/>
      </c>
      <c r="G12" s="37">
        <f>D12*RATE_PESS</f>
        <v/>
      </c>
      <c r="H12" s="38">
        <f>IF(G12&gt;500000,"YES","no")</f>
        <v/>
      </c>
    </row>
    <row r="13">
      <c r="A13" s="32" t="inlineStr">
        <is>
          <t>2015Q2</t>
        </is>
      </c>
      <c r="B13" s="34" t="n">
        <v>15617</v>
      </c>
      <c r="C13" s="35" t="n">
        <v>177.7669354224895</v>
      </c>
      <c r="D13" s="36" t="n">
        <v>2776186.230493018</v>
      </c>
      <c r="E13" s="37">
        <f>D13*RATE_OPT</f>
        <v/>
      </c>
      <c r="F13" s="37">
        <f>D13*RATE_ML</f>
        <v/>
      </c>
      <c r="G13" s="37">
        <f>D13*RATE_PESS</f>
        <v/>
      </c>
      <c r="H13" s="38">
        <f>IF(G13&gt;500000,"YES","no")</f>
        <v/>
      </c>
    </row>
    <row r="14">
      <c r="A14" s="32" t="inlineStr">
        <is>
          <t>2015Q3</t>
        </is>
      </c>
      <c r="B14" s="34" t="n">
        <v>15712</v>
      </c>
      <c r="C14" s="35" t="n">
        <v>176.4671608264906</v>
      </c>
      <c r="D14" s="36" t="n">
        <v>2772652.03090582</v>
      </c>
      <c r="E14" s="37">
        <f>D14*RATE_OPT</f>
        <v/>
      </c>
      <c r="F14" s="37">
        <f>D14*RATE_ML</f>
        <v/>
      </c>
      <c r="G14" s="37">
        <f>D14*RATE_PESS</f>
        <v/>
      </c>
      <c r="H14" s="38">
        <f>IF(G14&gt;500000,"YES","no")</f>
        <v/>
      </c>
    </row>
    <row r="15">
      <c r="A15" s="32" t="inlineStr">
        <is>
          <t>2015Q4</t>
        </is>
      </c>
      <c r="B15" s="34" t="n">
        <v>15908</v>
      </c>
      <c r="C15" s="35" t="n">
        <v>177.1599567080675</v>
      </c>
      <c r="D15" s="36" t="n">
        <v>2818260.591311938</v>
      </c>
      <c r="E15" s="37">
        <f>D15*RATE_OPT</f>
        <v/>
      </c>
      <c r="F15" s="37">
        <f>D15*RATE_ML</f>
        <v/>
      </c>
      <c r="G15" s="37">
        <f>D15*RATE_PESS</f>
        <v/>
      </c>
      <c r="H15" s="38">
        <f>IF(G15&gt;500000,"YES","no")</f>
        <v/>
      </c>
    </row>
    <row r="16">
      <c r="A16" s="32" t="inlineStr">
        <is>
          <t>2016Q1</t>
        </is>
      </c>
      <c r="B16" s="34" t="n">
        <v>15421</v>
      </c>
      <c r="C16" s="35" t="n">
        <v>177.153758557945</v>
      </c>
      <c r="D16" s="36" t="n">
        <v>2731888.110722069</v>
      </c>
      <c r="E16" s="37">
        <f>D16*RATE_OPT</f>
        <v/>
      </c>
      <c r="F16" s="37">
        <f>D16*RATE_ML</f>
        <v/>
      </c>
      <c r="G16" s="37">
        <f>D16*RATE_PESS</f>
        <v/>
      </c>
      <c r="H16" s="38">
        <f>IF(G16&gt;500000,"YES","no")</f>
        <v/>
      </c>
    </row>
    <row r="17">
      <c r="A17" s="32" t="inlineStr">
        <is>
          <t>2016Q2</t>
        </is>
      </c>
      <c r="B17" s="34" t="n">
        <v>15453</v>
      </c>
      <c r="C17" s="35" t="n">
        <v>176.4653562958151</v>
      </c>
      <c r="D17" s="36" t="n">
        <v>2726919.150839231</v>
      </c>
      <c r="E17" s="37">
        <f>D17*RATE_OPT</f>
        <v/>
      </c>
      <c r="F17" s="37">
        <f>D17*RATE_ML</f>
        <v/>
      </c>
      <c r="G17" s="37">
        <f>D17*RATE_PESS</f>
        <v/>
      </c>
      <c r="H17" s="38">
        <f>IF(G17&gt;500000,"YES","no")</f>
        <v/>
      </c>
    </row>
    <row r="18">
      <c r="A18" s="32" t="inlineStr">
        <is>
          <t>2016Q3</t>
        </is>
      </c>
      <c r="B18" s="34" t="n">
        <v>15799</v>
      </c>
      <c r="C18" s="35" t="n">
        <v>176.0869024007214</v>
      </c>
      <c r="D18" s="36" t="n">
        <v>2781996.971028998</v>
      </c>
      <c r="E18" s="37">
        <f>D18*RATE_OPT</f>
        <v/>
      </c>
      <c r="F18" s="37">
        <f>D18*RATE_ML</f>
        <v/>
      </c>
      <c r="G18" s="37">
        <f>D18*RATE_PESS</f>
        <v/>
      </c>
      <c r="H18" s="38">
        <f>IF(G18&gt;500000,"YES","no")</f>
        <v/>
      </c>
    </row>
    <row r="19">
      <c r="A19" s="32" t="inlineStr">
        <is>
          <t>2016Q4</t>
        </is>
      </c>
      <c r="B19" s="34" t="n">
        <v>15877</v>
      </c>
      <c r="C19" s="35" t="n">
        <v>177.3126239999135</v>
      </c>
      <c r="D19" s="36" t="n">
        <v>2815192.531246627</v>
      </c>
      <c r="E19" s="37">
        <f>D19*RATE_OPT</f>
        <v/>
      </c>
      <c r="F19" s="37">
        <f>D19*RATE_ML</f>
        <v/>
      </c>
      <c r="G19" s="37">
        <f>D19*RATE_PESS</f>
        <v/>
      </c>
      <c r="H19" s="38">
        <f>IF(G19&gt;500000,"YES","no")</f>
        <v/>
      </c>
    </row>
    <row r="20">
      <c r="A20" s="32" t="inlineStr">
        <is>
          <t>2017Q1</t>
        </is>
      </c>
      <c r="B20" s="34" t="n">
        <v>15470</v>
      </c>
      <c r="C20" s="35" t="n">
        <v>178.3896147501428</v>
      </c>
      <c r="D20" s="36" t="n">
        <v>2759687.340184709</v>
      </c>
      <c r="E20" s="37">
        <f>D20*RATE_OPT</f>
        <v/>
      </c>
      <c r="F20" s="37">
        <f>D20*RATE_ML</f>
        <v/>
      </c>
      <c r="G20" s="37">
        <f>D20*RATE_PESS</f>
        <v/>
      </c>
      <c r="H20" s="38">
        <f>IF(G20&gt;500000,"YES","no")</f>
        <v/>
      </c>
    </row>
    <row r="21">
      <c r="A21" s="32" t="inlineStr">
        <is>
          <t>2017Q2</t>
        </is>
      </c>
      <c r="B21" s="34" t="n">
        <v>15480</v>
      </c>
      <c r="C21" s="35" t="n">
        <v>184.2999497106634</v>
      </c>
      <c r="D21" s="36" t="n">
        <v>2852963.22152107</v>
      </c>
      <c r="E21" s="37">
        <f>D21*RATE_OPT</f>
        <v/>
      </c>
      <c r="F21" s="37">
        <f>D21*RATE_ML</f>
        <v/>
      </c>
      <c r="G21" s="37">
        <f>D21*RATE_PESS</f>
        <v/>
      </c>
      <c r="H21" s="38">
        <f>IF(G21&gt;500000,"YES","no")</f>
        <v/>
      </c>
    </row>
    <row r="22">
      <c r="A22" s="32" t="inlineStr">
        <is>
          <t>2017Q3</t>
        </is>
      </c>
      <c r="B22" s="34" t="n">
        <v>15812</v>
      </c>
      <c r="C22" s="35" t="n">
        <v>190.7439311891785</v>
      </c>
      <c r="D22" s="36" t="n">
        <v>3016043.03996329</v>
      </c>
      <c r="E22" s="37">
        <f>D22*RATE_OPT</f>
        <v/>
      </c>
      <c r="F22" s="37">
        <f>D22*RATE_ML</f>
        <v/>
      </c>
      <c r="G22" s="37">
        <f>D22*RATE_PESS</f>
        <v/>
      </c>
      <c r="H22" s="38">
        <f>IF(G22&gt;500000,"YES","no")</f>
        <v/>
      </c>
    </row>
    <row r="23">
      <c r="A23" s="32" t="inlineStr">
        <is>
          <t>2017Q4</t>
        </is>
      </c>
      <c r="B23" s="34" t="n">
        <v>6434</v>
      </c>
      <c r="C23" s="35" t="n">
        <v>308.0846146635653</v>
      </c>
      <c r="D23" s="36" t="n">
        <v>1982216.410745379</v>
      </c>
      <c r="E23" s="37">
        <f>D23*RATE_OPT</f>
        <v/>
      </c>
      <c r="F23" s="37">
        <f>D23*RATE_ML</f>
        <v/>
      </c>
      <c r="G23" s="37">
        <f>D23*RATE_PESS</f>
        <v/>
      </c>
      <c r="H23" s="38">
        <f>IF(G23&gt;500000,"YES","no")</f>
        <v/>
      </c>
    </row>
    <row r="25">
      <c r="A25" s="2" t="inlineStr">
        <is>
          <t>Findings</t>
        </is>
      </c>
    </row>
    <row r="26">
      <c r="A26" s="39" t="inlineStr">
        <is>
          <t>First quarter to breach $500K under Pessimistic:</t>
        </is>
      </c>
      <c r="C26" s="40">
        <f>IFERROR(INDEX(A12:A23,MATCH("YES",H12:H23,0)),"No quarter breaches")</f>
        <v/>
      </c>
    </row>
    <row r="27">
      <c r="A27" s="39" t="inlineStr">
        <is>
          <t>Max Pessimistic carrying cost observed</t>
        </is>
      </c>
      <c r="C27" s="41">
        <f>MAX(G12:G23)</f>
        <v/>
      </c>
    </row>
    <row r="28">
      <c r="A28" s="39" t="inlineStr">
        <is>
          <t>Quarter with max carrying cost</t>
        </is>
      </c>
      <c r="C28" s="11">
        <f>INDEX(A12:A23,MATCH(MAX(G12:G23),G12:G23,0))</f>
        <v/>
      </c>
    </row>
    <row r="30">
      <c r="A30" s="25" t="inlineStr">
        <is>
          <t>How to load these into Excel Scenario Manager</t>
        </is>
      </c>
    </row>
    <row r="31">
      <c r="A31" s="10" t="inlineStr">
        <is>
          <t>1.  Select cell B6 (rate cell for the Optimistic scenario).</t>
        </is>
      </c>
    </row>
    <row r="32">
      <c r="A32" s="10" t="inlineStr">
        <is>
          <t>2.  Data → What-If Analysis → Scenario Manager → Add.</t>
        </is>
      </c>
    </row>
    <row r="33">
      <c r="A33" s="10" t="inlineStr">
        <is>
          <t>3.  Scenario name: "Optimistic"  |  Changing cells: $B$6:$B$8  |  OK.</t>
        </is>
      </c>
    </row>
    <row r="34">
      <c r="A34" s="10" t="inlineStr">
        <is>
          <t>4.  Enter values: 0.18, 0.24, 0.32 → OK.</t>
        </is>
      </c>
    </row>
    <row r="35">
      <c r="A35" s="10" t="inlineStr">
        <is>
          <t>5.  Repeat Add for "Most Likely" (0.18, 0.24, 0.32 — same values) and "Pessimistic" (you can push the pessimistic rate higher, e.g. 0.38, to stress-test).</t>
        </is>
      </c>
    </row>
    <row r="36">
      <c r="A36" s="10" t="inlineStr">
        <is>
          <t>6.  Click Summary → Scenario Summary → pick the Carrying-Cost columns (E-G) as Result cells.</t>
        </is>
      </c>
    </row>
    <row r="37">
      <c r="A37" s="10" t="inlineStr">
        <is>
          <t>7.  Excel will build a side-by-side Summary sheet showing every scenario's impact.</t>
        </is>
      </c>
    </row>
    <row r="38">
      <c r="A38" s="10" t="inlineStr">
        <is>
          <t>The rate cells (B6:B8) are live inputs — change them and the whole quarterly table recalculates.</t>
        </is>
      </c>
    </row>
  </sheetData>
  <mergeCells count="14">
    <mergeCell ref="A26:B26"/>
    <mergeCell ref="A3:H3"/>
    <mergeCell ref="A30:H30"/>
    <mergeCell ref="A35:H35"/>
    <mergeCell ref="A38:H38"/>
    <mergeCell ref="A28:B28"/>
    <mergeCell ref="A32:H32"/>
    <mergeCell ref="A33:H33"/>
    <mergeCell ref="A36:H36"/>
    <mergeCell ref="A1:H1"/>
    <mergeCell ref="A37:H37"/>
    <mergeCell ref="A27:B27"/>
    <mergeCell ref="A31:H31"/>
    <mergeCell ref="A34:H34"/>
  </mergeCells>
  <conditionalFormatting sqref="G12:G23">
    <cfRule type="cellIs" priority="1" operator="greaterThan" dxfId="0">
      <formula>500000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22" customWidth="1" min="1" max="1"/>
    <col width="24" customWidth="1" min="2" max="2"/>
    <col width="40" customWidth="1" min="3" max="3"/>
    <col width="60" customWidth="1" min="4" max="4"/>
  </cols>
  <sheetData>
    <row r="1" ht="32" customHeight="1">
      <c r="A1" s="1" t="inlineStr">
        <is>
          <t>How to use the three native Excel tools in this workbook</t>
        </is>
      </c>
    </row>
    <row r="3">
      <c r="A3" s="14" t="inlineStr">
        <is>
          <t>Feature</t>
        </is>
      </c>
      <c r="B3" s="14" t="inlineStr">
        <is>
          <t>Sheet</t>
        </is>
      </c>
      <c r="C3" s="14" t="inlineStr">
        <is>
          <t>Short path in Excel</t>
        </is>
      </c>
      <c r="D3" s="14" t="inlineStr">
        <is>
          <t>What it does for you</t>
        </is>
      </c>
    </row>
    <row r="4">
      <c r="A4" s="42" t="inlineStr">
        <is>
          <t>2-Way Data Table</t>
        </is>
      </c>
      <c r="B4" s="42" t="inlineStr">
        <is>
          <t>Q5_2Way_DataTable</t>
        </is>
      </c>
      <c r="C4" s="42" t="inlineStr">
        <is>
          <t>Data → What-If Analysis → Data Table</t>
        </is>
      </c>
      <c r="D4" s="42" t="inlineStr">
        <is>
          <t>Recalculates a single formula across every combination of two input variables (Lead Time × Discount Rate here).</t>
        </is>
      </c>
    </row>
    <row r="5">
      <c r="A5" s="42" t="inlineStr">
        <is>
          <t>Goal Seek</t>
        </is>
      </c>
      <c r="B5" s="42" t="inlineStr">
        <is>
          <t>Q6_Max_Shipping_Cost</t>
        </is>
      </c>
      <c r="C5" s="42" t="inlineStr">
        <is>
          <t>Data → What-If Analysis → Goal Seek</t>
        </is>
      </c>
      <c r="D5" s="42" t="inlineStr">
        <is>
          <t>Iteratively changes one input cell until a target cell reaches a specified value ($15 Net Profit here).</t>
        </is>
      </c>
    </row>
    <row r="6">
      <c r="A6" s="42" t="inlineStr">
        <is>
          <t>Scenario Manager</t>
        </is>
      </c>
      <c r="B6" s="42" t="inlineStr">
        <is>
          <t>Q7_Carrying_Cost</t>
        </is>
      </c>
      <c r="C6" s="42" t="inlineStr">
        <is>
          <t>Data → What-If Analysis → Scenario Manager</t>
        </is>
      </c>
      <c r="D6" s="42" t="inlineStr">
        <is>
          <t>Stores multiple named sets of input values (Optimistic / Most Likely / Pessimistic) and lets you switch between them in one click.</t>
        </is>
      </c>
    </row>
    <row r="9">
      <c r="A9" s="2" t="inlineStr">
        <is>
          <t>Why we built the sheets as formula-driven tables instead of saving the native features directly</t>
        </is>
      </c>
    </row>
    <row r="10">
      <c r="A10" s="10" t="inlineStr">
        <is>
          <t>The python library we used to generate this file (openpyxl) cannot author Excel's proprietary Data-Table / Scenario-Manager XML parts.</t>
        </is>
      </c>
    </row>
    <row r="11">
      <c r="A11" s="10" t="inlineStr">
        <is>
          <t>Each sheet therefore uses a fully-formula-driven equivalent that produces identical numbers.</t>
        </is>
      </c>
    </row>
    <row r="12">
      <c r="A12" s="10" t="inlineStr">
        <is>
          <t>To reproduce the native features, follow the 6-8 step instructions printed inside Q5 / Q6 / Q7.</t>
        </is>
      </c>
    </row>
    <row r="13">
      <c r="A13" s="10" t="inlineStr">
        <is>
          <t>All yellow cells are live inputs — change any of them and the whole workbook recalculates.</t>
        </is>
      </c>
    </row>
  </sheetData>
  <mergeCells count="6">
    <mergeCell ref="A1:D1"/>
    <mergeCell ref="A9:D9"/>
    <mergeCell ref="A12:D12"/>
    <mergeCell ref="A11:D11"/>
    <mergeCell ref="A10:D10"/>
    <mergeCell ref="A13:D1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2026-04-21T19:07:08Z</dcterms:created>
  <dcterms:modified xmlns:dcterms="http://purl.org/dc/terms/" xmlns:xsi="http://www.w3.org/2001/XMLSchema-instance" xsi:type="dcterms:W3CDTF">2026-04-21T19:07:08Z</dcterms:modified>
</cp:coreProperties>
</file>