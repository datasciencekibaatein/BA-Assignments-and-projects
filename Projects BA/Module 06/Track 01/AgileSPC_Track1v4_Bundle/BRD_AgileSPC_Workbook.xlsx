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RD_FRs" sheetId="3" state="visible" r:id="rId3"/>
    <sheet xmlns:r="http://schemas.openxmlformats.org/officeDocument/2006/relationships" name="SPC_ControlChart" sheetId="4" state="visible" r:id="rId4"/>
    <sheet xmlns:r="http://schemas.openxmlformats.org/officeDocument/2006/relationships" name="EOQ_Calc" sheetId="5" state="visible" r:id="rId5"/>
    <sheet xmlns:r="http://schemas.openxmlformats.org/officeDocument/2006/relationships" name="Reorder_Alert" sheetId="6" state="visible" r:id="rId6"/>
    <sheet xmlns:r="http://schemas.openxmlformats.org/officeDocument/2006/relationships" name="Sprint_Backlog" sheetId="7" state="visible" r:id="rId7"/>
    <sheet xmlns:r="http://schemas.openxmlformats.org/officeDocument/2006/relationships" name="Tableau_Spec" sheetId="8" state="visible" r:id="rId8"/>
  </sheets>
  <definedNames>
    <definedName name="OrderCost">Inputs!$C$5</definedName>
    <definedName name="HoldingPct">Inputs!$C$6</definedName>
    <definedName name="ServiceZ">Inputs!$C$7</definedName>
    <definedName name="MonthsData">Inputs!$C$8</definedName>
    <definedName name="DaysPerMonth">Inputs!$C$9</definedName>
    <definedName name="StatusQuoQ">Inputs!$C$10</definedName>
    <definedName name="MinSubgroupN">Inputs!$C$11</definedName>
    <definedName name="SigmaFactor">Inputs!$C$12</definedName>
    <definedName name="LatePctOverall">Inputs!$C$13</definedName>
    <definedName name="FirstClassLate">Inputs!$C$14</definedName>
    <definedName name="StdClassNMedian">Inputs!$C$15</definedName>
    <definedName name="CL_xbar">Inputs!$C$16</definedName>
    <definedName name="sbar">Inputs!$C$17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0"/>
    <numFmt numFmtId="166" formatCode="0.0000"/>
    <numFmt numFmtId="167" formatCode="$#,##0.00"/>
    <numFmt numFmtId="168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8"/>
      <sz val="13"/>
    </font>
    <font>
      <b val="1"/>
      <color rgb="001F4E78"/>
    </font>
    <font>
      <name val="Calibri"/>
      <b val="1"/>
      <color rgb="00FFFFFF"/>
      <sz val="12"/>
    </font>
    <font>
      <name val="Calibri"/>
      <b val="1"/>
      <color rgb="000070C0"/>
      <sz val="11"/>
    </font>
    <font>
      <i val="1"/>
      <color rgb="00808080"/>
    </font>
    <font>
      <name val="Calibri"/>
      <color rgb="00008000"/>
      <sz val="11"/>
    </font>
    <font>
      <name val="Calibri"/>
      <color rgb="000000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0" borderId="0" pivotButton="0" quotePrefix="0" xfId="0"/>
    <xf numFmtId="10" fontId="5" fillId="3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164" fontId="7" fillId="0" borderId="0" pivotButton="0" quotePrefix="0" xfId="0"/>
    <xf numFmtId="0" fontId="7" fillId="0" borderId="0" pivotButton="0" quotePrefix="0" xfId="0"/>
    <xf numFmtId="165" fontId="8" fillId="0" borderId="0" pivotButton="0" quotePrefix="0" xfId="0"/>
    <xf numFmtId="164" fontId="8" fillId="6" borderId="0" pivotButton="0" quotePrefix="0" xfId="0"/>
    <xf numFmtId="0" fontId="0" fillId="0" borderId="1" pivotButton="0" quotePrefix="0" xfId="0"/>
    <xf numFmtId="164" fontId="5" fillId="0" borderId="1" pivotButton="0" quotePrefix="0" xfId="0"/>
    <xf numFmtId="164" fontId="7" fillId="0" borderId="1" pivotButton="0" quotePrefix="0" xfId="0"/>
    <xf numFmtId="0" fontId="8" fillId="0" borderId="1" pivotButton="0" quotePrefix="0" xfId="0"/>
    <xf numFmtId="0" fontId="8" fillId="0" borderId="0" pivotButton="0" quotePrefix="0" xfId="0"/>
    <xf numFmtId="166" fontId="8" fillId="0" borderId="0" pivotButton="0" quotePrefix="0" xfId="0"/>
    <xf numFmtId="0" fontId="8" fillId="6" borderId="0" pivotButton="0" quotePrefix="0" xfId="0"/>
    <xf numFmtId="0" fontId="5" fillId="0" borderId="1" pivotButton="0" quotePrefix="0" xfId="0"/>
    <xf numFmtId="167" fontId="5" fillId="0" borderId="1" pivotButton="0" quotePrefix="0" xfId="0"/>
    <xf numFmtId="167" fontId="8" fillId="0" borderId="1" pivotButton="0" quotePrefix="0" xfId="0"/>
    <xf numFmtId="1" fontId="8" fillId="6" borderId="1" pivotButton="0" quotePrefix="0" xfId="0"/>
    <xf numFmtId="1" fontId="8" fillId="0" borderId="1" pivotButton="0" quotePrefix="0" xfId="0"/>
    <xf numFmtId="168" fontId="8" fillId="6" borderId="1" pivotButton="0" quotePrefix="0" xfId="0"/>
    <xf numFmtId="168" fontId="9" fillId="6" borderId="0" pivotButton="0" quotePrefix="0" xfId="0"/>
    <xf numFmtId="0" fontId="7" fillId="0" borderId="1" pivotButton="0" quotePrefix="0" xfId="0"/>
    <xf numFmtId="0" fontId="8" fillId="4" borderId="1" pivotButton="0" quotePrefix="0" xfId="0"/>
    <xf numFmtId="0" fontId="8" fillId="7" borderId="1" pivotButton="0" quotePrefix="0" xfId="0"/>
    <xf numFmtId="0" fontId="8" fillId="5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32" customHeight="1">
      <c r="B2" s="1" t="inlineStr">
        <is>
          <t>OPERATIONAL EXCELLENCE: ELIMINATING FULFILLMENT VARIANCE</t>
        </is>
      </c>
    </row>
    <row r="4">
      <c r="B4" s="2" t="inlineStr">
        <is>
          <t>Track 1 v4 — Agile SPC Audit (DataCo Smart Supply Chain)</t>
        </is>
      </c>
    </row>
    <row r="6">
      <c r="B6" s="3" t="inlineStr">
        <is>
          <t>Project</t>
        </is>
      </c>
      <c r="C6" s="4" t="inlineStr">
        <is>
          <t>Operational Excellence: Eliminating Fulfillment Variance through DMAIC and Agile</t>
        </is>
      </c>
    </row>
    <row r="7">
      <c r="B7" s="3" t="inlineStr">
        <is>
          <t>Dataset</t>
        </is>
      </c>
      <c r="C7" s="4" t="inlineStr">
        <is>
          <t>DataCo Smart Supply Chain (180,519 orders, 2015-01 to 2018-01)</t>
        </is>
      </c>
    </row>
    <row r="8">
      <c r="B8" s="3" t="inlineStr">
        <is>
          <t>Hero method</t>
        </is>
      </c>
      <c r="C8" s="4" t="inlineStr">
        <is>
          <t>X-bar Statistical Process Control + Agile sprint-based delivery</t>
        </is>
      </c>
    </row>
    <row r="9">
      <c r="B9" s="3" t="inlineStr">
        <is>
          <t>Hero finding</t>
        </is>
      </c>
      <c r="C9" s="4" t="inlineStr">
        <is>
          <t>7/162 weekly subgroups out of control (4.3%) → Special Cause failures present</t>
        </is>
      </c>
    </row>
    <row r="10">
      <c r="B10" s="3" t="inlineStr">
        <is>
          <t>Hero $ impact</t>
        </is>
      </c>
      <c r="C10" s="4" t="inlineStr">
        <is>
          <t>EOQ rollout = $294,510/year savings (cross-category)</t>
        </is>
      </c>
    </row>
    <row r="11">
      <c r="B11" s="3" t="inlineStr">
        <is>
          <t>Sheets</t>
        </is>
      </c>
      <c r="C11" s="4" t="inlineStr">
        <is>
          <t>Cover, Inputs, BRD_FRs, SPC_ControlChart, EOQ_Calc, Reorder_Alert, Sprint_Backlog, Tableau_Spec</t>
        </is>
      </c>
    </row>
    <row r="12">
      <c r="B12" s="3" t="inlineStr">
        <is>
          <t>Differentiation</t>
        </is>
      </c>
      <c r="C12" s="4" t="inlineStr">
        <is>
          <t>v1 SARIMA / v3 DMAIC-First Class / v4 SPC + Cross-cat EOQ + BRD/Sprints</t>
        </is>
      </c>
    </row>
  </sheetData>
  <mergeCells count="9">
    <mergeCell ref="B2:G2"/>
    <mergeCell ref="C7:G7"/>
    <mergeCell ref="C12:G12"/>
    <mergeCell ref="C6:G6"/>
    <mergeCell ref="C10:G10"/>
    <mergeCell ref="C11:G11"/>
    <mergeCell ref="B4:G4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5" customWidth="1" min="2" max="2"/>
    <col width="14" customWidth="1" min="3" max="3"/>
    <col width="22" customWidth="1" min="4" max="4"/>
    <col width="8" customWidth="1" min="5" max="5"/>
  </cols>
  <sheetData>
    <row r="2" ht="28" customHeight="1">
      <c r="B2" s="1" t="inlineStr">
        <is>
          <t>CRITICAL ASSUMPTIONS (yellow = inputs)</t>
        </is>
      </c>
    </row>
    <row r="4">
      <c r="B4" s="5" t="inlineStr">
        <is>
          <t>Parameter</t>
        </is>
      </c>
      <c r="C4" s="5" t="inlineStr">
        <is>
          <t>Value</t>
        </is>
      </c>
      <c r="D4" s="5" t="inlineStr">
        <is>
          <t>Defined Name</t>
        </is>
      </c>
    </row>
    <row r="5">
      <c r="B5" t="inlineStr">
        <is>
          <t>Order cost (S, $/PO)</t>
        </is>
      </c>
      <c r="C5" s="6" t="n">
        <v>50</v>
      </c>
      <c r="D5" s="7" t="inlineStr">
        <is>
          <t>OrderCost</t>
        </is>
      </c>
    </row>
    <row r="6">
      <c r="B6" t="inlineStr">
        <is>
          <t>Holding cost % (annual)</t>
        </is>
      </c>
      <c r="C6" s="8" t="n">
        <v>0.25</v>
      </c>
      <c r="D6" s="7" t="inlineStr">
        <is>
          <t>HoldingPct</t>
        </is>
      </c>
    </row>
    <row r="7">
      <c r="B7" t="inlineStr">
        <is>
          <t>Service level Z (95%)</t>
        </is>
      </c>
      <c r="C7" s="6" t="n">
        <v>1.65</v>
      </c>
      <c r="D7" s="7" t="inlineStr">
        <is>
          <t>ServiceZ</t>
        </is>
      </c>
    </row>
    <row r="8">
      <c r="B8" t="inlineStr">
        <is>
          <t>Months in dataset</t>
        </is>
      </c>
      <c r="C8" s="6" t="n">
        <v>36</v>
      </c>
      <c r="D8" s="7" t="inlineStr">
        <is>
          <t>MonthsData</t>
        </is>
      </c>
    </row>
    <row r="9">
      <c r="B9" t="inlineStr">
        <is>
          <t>Days per month</t>
        </is>
      </c>
      <c r="C9" s="6" t="n">
        <v>30</v>
      </c>
      <c r="D9" s="7" t="inlineStr">
        <is>
          <t>DaysPerMonth</t>
        </is>
      </c>
    </row>
    <row r="10">
      <c r="B10" t="inlineStr">
        <is>
          <t>Quarterly orders/yr (status quo)</t>
        </is>
      </c>
      <c r="C10" s="6" t="n">
        <v>4</v>
      </c>
      <c r="D10" s="7" t="inlineStr">
        <is>
          <t>StatusQuoQ</t>
        </is>
      </c>
    </row>
    <row r="11">
      <c r="B11" t="inlineStr">
        <is>
          <t>SPC subgroup min (n)</t>
        </is>
      </c>
      <c r="C11" s="6" t="n">
        <v>30</v>
      </c>
      <c r="D11" s="7" t="inlineStr">
        <is>
          <t>MinSubgroupN</t>
        </is>
      </c>
    </row>
    <row r="12">
      <c r="B12" t="inlineStr">
        <is>
          <t>SPC sigma factor (3)</t>
        </is>
      </c>
      <c r="C12" s="6" t="n">
        <v>3</v>
      </c>
      <c r="D12" s="7" t="inlineStr">
        <is>
          <t>SigmaFactor</t>
        </is>
      </c>
    </row>
    <row r="13">
      <c r="B13" t="inlineStr">
        <is>
          <t>Late % overall (DataCo actual)</t>
        </is>
      </c>
      <c r="C13" s="8" t="n">
        <v>0.5483</v>
      </c>
      <c r="D13" s="7" t="inlineStr">
        <is>
          <t>LatePctOverall</t>
        </is>
      </c>
    </row>
    <row r="14">
      <c r="B14" t="inlineStr">
        <is>
          <t>First Class late % (DataCo)</t>
        </is>
      </c>
      <c r="C14" s="8" t="n">
        <v>0.953</v>
      </c>
      <c r="D14" s="7" t="inlineStr">
        <is>
          <t>FirstClassLate</t>
        </is>
      </c>
    </row>
    <row r="15">
      <c r="B15" t="inlineStr">
        <is>
          <t>Standard Class median n/week</t>
        </is>
      </c>
      <c r="C15" s="6" t="n">
        <v>708</v>
      </c>
      <c r="D15" s="7" t="inlineStr">
        <is>
          <t>StdClassNMedian</t>
        </is>
      </c>
    </row>
    <row r="16">
      <c r="B16" t="inlineStr">
        <is>
          <t>Std Class CL (xbar-bar)</t>
        </is>
      </c>
      <c r="C16" s="6" t="n">
        <v>-0.004</v>
      </c>
      <c r="D16" s="7" t="inlineStr">
        <is>
          <t>CL_xbar</t>
        </is>
      </c>
    </row>
    <row r="17">
      <c r="B17" t="inlineStr">
        <is>
          <t>Std Class sbar</t>
        </is>
      </c>
      <c r="C17" s="6" t="n">
        <v>1.416</v>
      </c>
      <c r="D17" s="7" t="inlineStr">
        <is>
          <t>sbar</t>
        </is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cols>
    <col width="8" customWidth="1" min="2" max="2"/>
    <col width="16" customWidth="1" min="3" max="3"/>
    <col width="50" customWidth="1" min="4" max="4"/>
    <col width="12" customWidth="1" min="5" max="5"/>
    <col width="30" customWidth="1" min="6" max="6"/>
    <col width="8" customWidth="1" min="7" max="7"/>
  </cols>
  <sheetData>
    <row r="2" ht="28" customHeight="1">
      <c r="B2" s="1" t="inlineStr">
        <is>
          <t>BUSINESS REQUIREMENT DOCUMENT — FUNCTIONAL REQUIREMENTS</t>
        </is>
      </c>
    </row>
    <row r="4">
      <c r="B4" s="5" t="inlineStr">
        <is>
          <t>FR#</t>
        </is>
      </c>
      <c r="C4" s="5" t="inlineStr">
        <is>
          <t>Category</t>
        </is>
      </c>
      <c r="D4" s="5" t="inlineStr">
        <is>
          <t>Requirement</t>
        </is>
      </c>
      <c r="E4" s="5" t="inlineStr">
        <is>
          <t>Priority</t>
        </is>
      </c>
      <c r="F4" s="5" t="inlineStr">
        <is>
          <t>Acceptance Criteria</t>
        </is>
      </c>
      <c r="G4" s="5" t="inlineStr">
        <is>
          <t>Sprint</t>
        </is>
      </c>
    </row>
    <row r="5">
      <c r="B5" s="9" t="inlineStr">
        <is>
          <t>FR-01</t>
        </is>
      </c>
      <c r="C5" s="9" t="inlineStr">
        <is>
          <t>Data Integration</t>
        </is>
      </c>
      <c r="D5" s="9" t="inlineStr">
        <is>
          <t>Real-time variance feed from WMS to control chart engine</t>
        </is>
      </c>
      <c r="E5" s="10" t="inlineStr">
        <is>
          <t>High</t>
        </is>
      </c>
      <c r="F5" s="9" t="inlineStr">
        <is>
          <t>Variance lag ≤ 5 min for 99% of orders</t>
        </is>
      </c>
      <c r="G5" s="9" t="inlineStr">
        <is>
          <t>S1</t>
        </is>
      </c>
    </row>
    <row r="6">
      <c r="B6" s="9" t="inlineStr">
        <is>
          <t>FR-02</t>
        </is>
      </c>
      <c r="C6" s="9" t="inlineStr">
        <is>
          <t>SPC Engine</t>
        </is>
      </c>
      <c r="D6" s="9" t="inlineStr">
        <is>
          <t>Auto-flag any week where mean variance &gt; UCL or &lt; LCL</t>
        </is>
      </c>
      <c r="E6" s="10" t="inlineStr">
        <is>
          <t>High</t>
        </is>
      </c>
      <c r="F6" s="9" t="inlineStr">
        <is>
          <t>100% of out-of-control weeks flagged within 24h</t>
        </is>
      </c>
      <c r="G6" s="9" t="inlineStr">
        <is>
          <t>S2</t>
        </is>
      </c>
    </row>
    <row r="7">
      <c r="B7" s="9" t="inlineStr">
        <is>
          <t>FR-03</t>
        </is>
      </c>
      <c r="C7" s="9" t="inlineStr">
        <is>
          <t>Workflow</t>
        </is>
      </c>
      <c r="D7" s="9" t="inlineStr">
        <is>
          <t>5-Whys investigation ticket auto-created per Special Cause flag</t>
        </is>
      </c>
      <c r="E7" s="10" t="inlineStr">
        <is>
          <t>High</t>
        </is>
      </c>
      <c r="F7" s="9" t="inlineStr">
        <is>
          <t>Ticket assigned to ops lead within 1h of flag</t>
        </is>
      </c>
      <c r="G7" s="9" t="inlineStr">
        <is>
          <t>S2</t>
        </is>
      </c>
    </row>
    <row r="8">
      <c r="B8" s="9" t="inlineStr">
        <is>
          <t>FR-04</t>
        </is>
      </c>
      <c r="C8" s="9" t="inlineStr">
        <is>
          <t>Inventory</t>
        </is>
      </c>
      <c r="D8" s="9" t="inlineStr">
        <is>
          <t>EOQ + ROP + SS computed nightly per category</t>
        </is>
      </c>
      <c r="E8" s="10" t="inlineStr">
        <is>
          <t>High</t>
        </is>
      </c>
      <c r="F8" s="9" t="inlineStr">
        <is>
          <t>Computation completes in &lt; 10 min nightly window</t>
        </is>
      </c>
      <c r="G8" s="9" t="inlineStr">
        <is>
          <t>S3</t>
        </is>
      </c>
    </row>
    <row r="9">
      <c r="B9" s="9" t="inlineStr">
        <is>
          <t>FR-05</t>
        </is>
      </c>
      <c r="C9" s="9" t="inlineStr">
        <is>
          <t>Reorder Alert</t>
        </is>
      </c>
      <c r="D9" s="9" t="inlineStr">
        <is>
          <t>Red/yellow/green alerts dispatched to procurement</t>
        </is>
      </c>
      <c r="E9" s="10" t="inlineStr">
        <is>
          <t>High</t>
        </is>
      </c>
      <c r="F9" s="9" t="inlineStr">
        <is>
          <t>Alert email + Slack within 5 min of ROP breach</t>
        </is>
      </c>
      <c r="G9" s="9" t="inlineStr">
        <is>
          <t>S3</t>
        </is>
      </c>
    </row>
    <row r="10">
      <c r="B10" s="9" t="inlineStr">
        <is>
          <t>FR-06</t>
        </is>
      </c>
      <c r="C10" s="9" t="inlineStr">
        <is>
          <t>Dashboard</t>
        </is>
      </c>
      <c r="D10" s="9" t="inlineStr">
        <is>
          <t>Tableau dashboard with 5 sheets and drill-through</t>
        </is>
      </c>
      <c r="E10" s="10" t="inlineStr">
        <is>
          <t>High</t>
        </is>
      </c>
      <c r="F10" s="9" t="inlineStr">
        <is>
          <t>UAT signoff by ops director</t>
        </is>
      </c>
      <c r="G10" s="9" t="inlineStr">
        <is>
          <t>S3-4</t>
        </is>
      </c>
    </row>
    <row r="11">
      <c r="B11" s="9" t="inlineStr">
        <is>
          <t>FR-07</t>
        </is>
      </c>
      <c r="C11" s="9" t="inlineStr">
        <is>
          <t>RBAC</t>
        </is>
      </c>
      <c r="D11" s="9" t="inlineStr">
        <is>
          <t>Role-based access (Ops, Procurement, Exec)</t>
        </is>
      </c>
      <c r="E11" s="11" t="inlineStr">
        <is>
          <t>Medium</t>
        </is>
      </c>
      <c r="F11" s="9" t="inlineStr">
        <is>
          <t>3 roles tested in UAT</t>
        </is>
      </c>
      <c r="G11" s="9" t="inlineStr">
        <is>
          <t>S4</t>
        </is>
      </c>
    </row>
    <row r="12">
      <c r="B12" s="9" t="inlineStr">
        <is>
          <t>FR-08</t>
        </is>
      </c>
      <c r="C12" s="9" t="inlineStr">
        <is>
          <t>Audit Log</t>
        </is>
      </c>
      <c r="D12" s="9" t="inlineStr">
        <is>
          <t>Audit trail of every reorder action</t>
        </is>
      </c>
      <c r="E12" s="11" t="inlineStr">
        <is>
          <t>Medium</t>
        </is>
      </c>
      <c r="F12" s="9" t="inlineStr">
        <is>
          <t>Log retained 12 months</t>
        </is>
      </c>
      <c r="G12" s="9" t="inlineStr">
        <is>
          <t>S4</t>
        </is>
      </c>
    </row>
    <row r="13">
      <c r="B13" s="9" t="inlineStr">
        <is>
          <t>FR-09</t>
        </is>
      </c>
      <c r="C13" s="9" t="inlineStr">
        <is>
          <t>BPMN</t>
        </is>
      </c>
      <c r="D13" s="9" t="inlineStr">
        <is>
          <t>Documented BPMN 2.0 swimlane (current + future state)</t>
        </is>
      </c>
      <c r="E13" s="11" t="inlineStr">
        <is>
          <t>Medium</t>
        </is>
      </c>
      <c r="F13" s="9" t="inlineStr">
        <is>
          <t>Stakeholder signoff</t>
        </is>
      </c>
      <c r="G13" s="9" t="inlineStr">
        <is>
          <t>S0</t>
        </is>
      </c>
    </row>
    <row r="14">
      <c r="B14" s="9" t="inlineStr">
        <is>
          <t>FR-10</t>
        </is>
      </c>
      <c r="C14" s="9" t="inlineStr">
        <is>
          <t>Schema</t>
        </is>
      </c>
      <c r="D14" s="9" t="inlineStr">
        <is>
          <t>3NF normalized schema with defined keys + indexes</t>
        </is>
      </c>
      <c r="E14" s="10" t="inlineStr">
        <is>
          <t>High</t>
        </is>
      </c>
      <c r="F14" s="9" t="inlineStr">
        <is>
          <t>PK/FK constraints validated</t>
        </is>
      </c>
      <c r="G14" s="9" t="inlineStr">
        <is>
          <t>S1</t>
        </is>
      </c>
    </row>
    <row r="15">
      <c r="B15" s="9" t="inlineStr">
        <is>
          <t>FR-11</t>
        </is>
      </c>
      <c r="C15" s="9" t="inlineStr">
        <is>
          <t>SLA Gate</t>
        </is>
      </c>
      <c r="D15" s="9" t="inlineStr">
        <is>
          <t>Order entry validates against carrier capacity</t>
        </is>
      </c>
      <c r="E15" s="10" t="inlineStr">
        <is>
          <t>High</t>
        </is>
      </c>
      <c r="F15" s="9" t="inlineStr">
        <is>
          <t>Reject orders that violate carrier SLA</t>
        </is>
      </c>
      <c r="G15" s="9" t="inlineStr">
        <is>
          <t>S2</t>
        </is>
      </c>
    </row>
    <row r="16">
      <c r="B16" s="9" t="inlineStr">
        <is>
          <t>FR-12</t>
        </is>
      </c>
      <c r="C16" s="9" t="inlineStr">
        <is>
          <t>Reporting</t>
        </is>
      </c>
      <c r="D16" s="9" t="inlineStr">
        <is>
          <t>Weekly Special Cause summary email to leadership</t>
        </is>
      </c>
      <c r="E16" s="9" t="inlineStr">
        <is>
          <t>Low</t>
        </is>
      </c>
      <c r="F16" s="9" t="inlineStr">
        <is>
          <t>Email scheduled Mondays 8am</t>
        </is>
      </c>
      <c r="G16" s="9" t="inlineStr">
        <is>
          <t>S4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47"/>
  <sheetViews>
    <sheetView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14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2" ht="28" customHeight="1">
      <c r="B2" s="1" t="inlineStr">
        <is>
          <t>X-BAR CONTROL CHART (Standard Class, weekly subgroups)</t>
        </is>
      </c>
    </row>
    <row r="4">
      <c r="B4" t="inlineStr">
        <is>
          <t>CL (X-bar-bar):</t>
        </is>
      </c>
      <c r="C4" s="12">
        <f>CL_xbar</f>
        <v/>
      </c>
    </row>
    <row r="5">
      <c r="B5" t="inlineStr">
        <is>
          <t>sbar:</t>
        </is>
      </c>
      <c r="C5" s="12">
        <f>sbar</f>
        <v/>
      </c>
    </row>
    <row r="6">
      <c r="B6" t="inlineStr">
        <is>
          <t>Median subgroup n:</t>
        </is>
      </c>
      <c r="C6" s="13">
        <f>StdClassNMedian</f>
        <v/>
      </c>
    </row>
    <row r="7">
      <c r="B7" t="inlineStr">
        <is>
          <t>A3 = 3/sqrt(n):</t>
        </is>
      </c>
      <c r="C7" s="14">
        <f>SigmaFactor/SQRT(C6)</f>
        <v/>
      </c>
    </row>
    <row r="8">
      <c r="B8" t="inlineStr">
        <is>
          <t>UCL = CL + A3*sbar:</t>
        </is>
      </c>
      <c r="C8" s="15">
        <f>C4+C7*C5</f>
        <v/>
      </c>
    </row>
    <row r="9">
      <c r="B9" t="inlineStr">
        <is>
          <t>LCL = CL - A3*sbar:</t>
        </is>
      </c>
      <c r="C9" s="15">
        <f>C4-C7*C5</f>
        <v/>
      </c>
    </row>
    <row r="11">
      <c r="B11" s="2" t="inlineStr">
        <is>
          <t>WEEKLY SUBGROUPS (sample of 30 — full 162 in spc_weekly.csv)</t>
        </is>
      </c>
    </row>
    <row r="13">
      <c r="B13" s="5" t="inlineStr">
        <is>
          <t>Week</t>
        </is>
      </c>
      <c r="C13" s="5" t="inlineStr">
        <is>
          <t>n</t>
        </is>
      </c>
      <c r="D13" s="5" t="inlineStr">
        <is>
          <t>Mean variance</t>
        </is>
      </c>
      <c r="E13" s="5" t="inlineStr">
        <is>
          <t>UCL</t>
        </is>
      </c>
      <c r="F13" s="5" t="inlineStr">
        <is>
          <t>LCL</t>
        </is>
      </c>
      <c r="G13" s="5" t="inlineStr">
        <is>
          <t>Out of Control?</t>
        </is>
      </c>
      <c r="H13" s="5" t="inlineStr">
        <is>
          <t>Status</t>
        </is>
      </c>
    </row>
    <row r="14">
      <c r="B14" s="16" t="inlineStr">
        <is>
          <t>2015-W01</t>
        </is>
      </c>
      <c r="C14" s="16" t="n">
        <v>712</v>
      </c>
      <c r="D14" s="17" t="n">
        <v>-0.012</v>
      </c>
      <c r="E14" s="18">
        <f>$C$8</f>
        <v/>
      </c>
      <c r="F14" s="18">
        <f>$C$9</f>
        <v/>
      </c>
      <c r="G14" s="19">
        <f>IF(OR(D14&gt;E14,D14&lt;F14),1,0)</f>
        <v/>
      </c>
      <c r="H14" s="19">
        <f>IF(G14=1,"SPECIAL CAUSE","In Control")</f>
        <v/>
      </c>
    </row>
    <row r="15">
      <c r="B15" s="16" t="inlineStr">
        <is>
          <t>2015-W02</t>
        </is>
      </c>
      <c r="C15" s="16" t="n">
        <v>698</v>
      </c>
      <c r="D15" s="17" t="n">
        <v>0.022</v>
      </c>
      <c r="E15" s="18">
        <f>$C$8</f>
        <v/>
      </c>
      <c r="F15" s="18">
        <f>$C$9</f>
        <v/>
      </c>
      <c r="G15" s="19">
        <f>IF(OR(D15&gt;E15,D15&lt;F15),1,0)</f>
        <v/>
      </c>
      <c r="H15" s="19">
        <f>IF(G15=1,"SPECIAL CAUSE","In Control")</f>
        <v/>
      </c>
    </row>
    <row r="16">
      <c r="B16" s="16" t="inlineStr">
        <is>
          <t>2015-W03</t>
        </is>
      </c>
      <c r="C16" s="16" t="n">
        <v>720</v>
      </c>
      <c r="D16" s="17" t="n">
        <v>-0.034</v>
      </c>
      <c r="E16" s="18">
        <f>$C$8</f>
        <v/>
      </c>
      <c r="F16" s="18">
        <f>$C$9</f>
        <v/>
      </c>
      <c r="G16" s="19">
        <f>IF(OR(D16&gt;E16,D16&lt;F16),1,0)</f>
        <v/>
      </c>
      <c r="H16" s="19">
        <f>IF(G16=1,"SPECIAL CAUSE","In Control")</f>
        <v/>
      </c>
    </row>
    <row r="17">
      <c r="B17" s="16" t="inlineStr">
        <is>
          <t>2015-W04</t>
        </is>
      </c>
      <c r="C17" s="16" t="n">
        <v>705</v>
      </c>
      <c r="D17" s="17" t="n">
        <v>0.045</v>
      </c>
      <c r="E17" s="18">
        <f>$C$8</f>
        <v/>
      </c>
      <c r="F17" s="18">
        <f>$C$9</f>
        <v/>
      </c>
      <c r="G17" s="19">
        <f>IF(OR(D17&gt;E17,D17&lt;F17),1,0)</f>
        <v/>
      </c>
      <c r="H17" s="19">
        <f>IF(G17=1,"SPECIAL CAUSE","In Control")</f>
        <v/>
      </c>
    </row>
    <row r="18">
      <c r="B18" s="16" t="inlineStr">
        <is>
          <t>2015-W05</t>
        </is>
      </c>
      <c r="C18" s="16" t="n">
        <v>715</v>
      </c>
      <c r="D18" s="17" t="n">
        <v>-0.011</v>
      </c>
      <c r="E18" s="18">
        <f>$C$8</f>
        <v/>
      </c>
      <c r="F18" s="18">
        <f>$C$9</f>
        <v/>
      </c>
      <c r="G18" s="19">
        <f>IF(OR(D18&gt;E18,D18&lt;F18),1,0)</f>
        <v/>
      </c>
      <c r="H18" s="19">
        <f>IF(G18=1,"SPECIAL CAUSE","In Control")</f>
        <v/>
      </c>
    </row>
    <row r="19">
      <c r="B19" s="16" t="inlineStr">
        <is>
          <t>2015-W06</t>
        </is>
      </c>
      <c r="C19" s="16" t="n">
        <v>700</v>
      </c>
      <c r="D19" s="17" t="n">
        <v>0.067</v>
      </c>
      <c r="E19" s="18">
        <f>$C$8</f>
        <v/>
      </c>
      <c r="F19" s="18">
        <f>$C$9</f>
        <v/>
      </c>
      <c r="G19" s="19">
        <f>IF(OR(D19&gt;E19,D19&lt;F19),1,0)</f>
        <v/>
      </c>
      <c r="H19" s="19">
        <f>IF(G19=1,"SPECIAL CAUSE","In Control")</f>
        <v/>
      </c>
    </row>
    <row r="20">
      <c r="B20" s="16" t="inlineStr">
        <is>
          <t>2015-W07</t>
        </is>
      </c>
      <c r="C20" s="16" t="n">
        <v>695</v>
      </c>
      <c r="D20" s="17" t="n">
        <v>-0.089</v>
      </c>
      <c r="E20" s="18">
        <f>$C$8</f>
        <v/>
      </c>
      <c r="F20" s="18">
        <f>$C$9</f>
        <v/>
      </c>
      <c r="G20" s="19">
        <f>IF(OR(D20&gt;E20,D20&lt;F20),1,0)</f>
        <v/>
      </c>
      <c r="H20" s="19">
        <f>IF(G20=1,"SPECIAL CAUSE","In Control")</f>
        <v/>
      </c>
    </row>
    <row r="21">
      <c r="B21" s="16" t="inlineStr">
        <is>
          <t>2015-W08</t>
        </is>
      </c>
      <c r="C21" s="16" t="n">
        <v>710</v>
      </c>
      <c r="D21" s="17" t="n">
        <v>0.012</v>
      </c>
      <c r="E21" s="18">
        <f>$C$8</f>
        <v/>
      </c>
      <c r="F21" s="18">
        <f>$C$9</f>
        <v/>
      </c>
      <c r="G21" s="19">
        <f>IF(OR(D21&gt;E21,D21&lt;F21),1,0)</f>
        <v/>
      </c>
      <c r="H21" s="19">
        <f>IF(G21=1,"SPECIAL CAUSE","In Control")</f>
        <v/>
      </c>
    </row>
    <row r="22">
      <c r="B22" s="16" t="inlineStr">
        <is>
          <t>2015-W09</t>
        </is>
      </c>
      <c r="C22" s="16" t="n">
        <v>718</v>
      </c>
      <c r="D22" s="17" t="n">
        <v>-0.023</v>
      </c>
      <c r="E22" s="18">
        <f>$C$8</f>
        <v/>
      </c>
      <c r="F22" s="18">
        <f>$C$9</f>
        <v/>
      </c>
      <c r="G22" s="19">
        <f>IF(OR(D22&gt;E22,D22&lt;F22),1,0)</f>
        <v/>
      </c>
      <c r="H22" s="19">
        <f>IF(G22=1,"SPECIAL CAUSE","In Control")</f>
        <v/>
      </c>
    </row>
    <row r="23">
      <c r="B23" s="16" t="inlineStr">
        <is>
          <t>2015-W10</t>
        </is>
      </c>
      <c r="C23" s="16" t="n">
        <v>690</v>
      </c>
      <c r="D23" s="17" t="n">
        <v>0.18</v>
      </c>
      <c r="E23" s="18">
        <f>$C$8</f>
        <v/>
      </c>
      <c r="F23" s="18">
        <f>$C$9</f>
        <v/>
      </c>
      <c r="G23" s="19">
        <f>IF(OR(D23&gt;E23,D23&lt;F23),1,0)</f>
        <v/>
      </c>
      <c r="H23" s="19">
        <f>IF(G23=1,"SPECIAL CAUSE","In Control")</f>
        <v/>
      </c>
    </row>
    <row r="24">
      <c r="B24" s="16" t="inlineStr">
        <is>
          <t>2015-W11</t>
        </is>
      </c>
      <c r="C24" s="16" t="n">
        <v>705</v>
      </c>
      <c r="D24" s="17" t="n">
        <v>0.034</v>
      </c>
      <c r="E24" s="18">
        <f>$C$8</f>
        <v/>
      </c>
      <c r="F24" s="18">
        <f>$C$9</f>
        <v/>
      </c>
      <c r="G24" s="19">
        <f>IF(OR(D24&gt;E24,D24&lt;F24),1,0)</f>
        <v/>
      </c>
      <c r="H24" s="19">
        <f>IF(G24=1,"SPECIAL CAUSE","In Control")</f>
        <v/>
      </c>
    </row>
    <row r="25">
      <c r="B25" s="16" t="inlineStr">
        <is>
          <t>2015-W12</t>
        </is>
      </c>
      <c r="C25" s="16" t="n">
        <v>715</v>
      </c>
      <c r="D25" s="17" t="n">
        <v>-0.045</v>
      </c>
      <c r="E25" s="18">
        <f>$C$8</f>
        <v/>
      </c>
      <c r="F25" s="18">
        <f>$C$9</f>
        <v/>
      </c>
      <c r="G25" s="19">
        <f>IF(OR(D25&gt;E25,D25&lt;F25),1,0)</f>
        <v/>
      </c>
      <c r="H25" s="19">
        <f>IF(G25=1,"SPECIAL CAUSE","In Control")</f>
        <v/>
      </c>
    </row>
    <row r="26">
      <c r="B26" s="16" t="inlineStr">
        <is>
          <t>2015-W13</t>
        </is>
      </c>
      <c r="C26" s="16" t="n">
        <v>720</v>
      </c>
      <c r="D26" s="17" t="n">
        <v>0.011</v>
      </c>
      <c r="E26" s="18">
        <f>$C$8</f>
        <v/>
      </c>
      <c r="F26" s="18">
        <f>$C$9</f>
        <v/>
      </c>
      <c r="G26" s="19">
        <f>IF(OR(D26&gt;E26,D26&lt;F26),1,0)</f>
        <v/>
      </c>
      <c r="H26" s="19">
        <f>IF(G26=1,"SPECIAL CAUSE","In Control")</f>
        <v/>
      </c>
    </row>
    <row r="27">
      <c r="B27" s="16" t="inlineStr">
        <is>
          <t>2015-W14</t>
        </is>
      </c>
      <c r="C27" s="16" t="n">
        <v>700</v>
      </c>
      <c r="D27" s="17" t="n">
        <v>-0.023</v>
      </c>
      <c r="E27" s="18">
        <f>$C$8</f>
        <v/>
      </c>
      <c r="F27" s="18">
        <f>$C$9</f>
        <v/>
      </c>
      <c r="G27" s="19">
        <f>IF(OR(D27&gt;E27,D27&lt;F27),1,0)</f>
        <v/>
      </c>
      <c r="H27" s="19">
        <f>IF(G27=1,"SPECIAL CAUSE","In Control")</f>
        <v/>
      </c>
    </row>
    <row r="28">
      <c r="B28" s="16" t="inlineStr">
        <is>
          <t>2015-W15</t>
        </is>
      </c>
      <c r="C28" s="16" t="n">
        <v>695</v>
      </c>
      <c r="D28" s="17" t="n">
        <v>0.045</v>
      </c>
      <c r="E28" s="18">
        <f>$C$8</f>
        <v/>
      </c>
      <c r="F28" s="18">
        <f>$C$9</f>
        <v/>
      </c>
      <c r="G28" s="19">
        <f>IF(OR(D28&gt;E28,D28&lt;F28),1,0)</f>
        <v/>
      </c>
      <c r="H28" s="19">
        <f>IF(G28=1,"SPECIAL CAUSE","In Control")</f>
        <v/>
      </c>
    </row>
    <row r="29">
      <c r="B29" s="16" t="inlineStr">
        <is>
          <t>2015-W16</t>
        </is>
      </c>
      <c r="C29" s="16" t="n">
        <v>710</v>
      </c>
      <c r="D29" s="17" t="n">
        <v>0.067</v>
      </c>
      <c r="E29" s="18">
        <f>$C$8</f>
        <v/>
      </c>
      <c r="F29" s="18">
        <f>$C$9</f>
        <v/>
      </c>
      <c r="G29" s="19">
        <f>IF(OR(D29&gt;E29,D29&lt;F29),1,0)</f>
        <v/>
      </c>
      <c r="H29" s="19">
        <f>IF(G29=1,"SPECIAL CAUSE","In Control")</f>
        <v/>
      </c>
    </row>
    <row r="30">
      <c r="B30" s="16" t="inlineStr">
        <is>
          <t>2015-W17</t>
        </is>
      </c>
      <c r="C30" s="16" t="n">
        <v>705</v>
      </c>
      <c r="D30" s="17" t="n">
        <v>-0.078</v>
      </c>
      <c r="E30" s="18">
        <f>$C$8</f>
        <v/>
      </c>
      <c r="F30" s="18">
        <f>$C$9</f>
        <v/>
      </c>
      <c r="G30" s="19">
        <f>IF(OR(D30&gt;E30,D30&lt;F30),1,0)</f>
        <v/>
      </c>
      <c r="H30" s="19">
        <f>IF(G30=1,"SPECIAL CAUSE","In Control")</f>
        <v/>
      </c>
    </row>
    <row r="31">
      <c r="B31" s="16" t="inlineStr">
        <is>
          <t>2015-W18</t>
        </is>
      </c>
      <c r="C31" s="16" t="n">
        <v>690</v>
      </c>
      <c r="D31" s="17" t="n">
        <v>-0.19</v>
      </c>
      <c r="E31" s="18">
        <f>$C$8</f>
        <v/>
      </c>
      <c r="F31" s="18">
        <f>$C$9</f>
        <v/>
      </c>
      <c r="G31" s="19">
        <f>IF(OR(D31&gt;E31,D31&lt;F31),1,0)</f>
        <v/>
      </c>
      <c r="H31" s="19">
        <f>IF(G31=1,"SPECIAL CAUSE","In Control")</f>
        <v/>
      </c>
    </row>
    <row r="32">
      <c r="B32" s="16" t="inlineStr">
        <is>
          <t>2015-W19</t>
        </is>
      </c>
      <c r="C32" s="16" t="n">
        <v>715</v>
      </c>
      <c r="D32" s="17" t="n">
        <v>0.034</v>
      </c>
      <c r="E32" s="18">
        <f>$C$8</f>
        <v/>
      </c>
      <c r="F32" s="18">
        <f>$C$9</f>
        <v/>
      </c>
      <c r="G32" s="19">
        <f>IF(OR(D32&gt;E32,D32&lt;F32),1,0)</f>
        <v/>
      </c>
      <c r="H32" s="19">
        <f>IF(G32=1,"SPECIAL CAUSE","In Control")</f>
        <v/>
      </c>
    </row>
    <row r="33">
      <c r="B33" s="16" t="inlineStr">
        <is>
          <t>2015-W20</t>
        </is>
      </c>
      <c r="C33" s="16" t="n">
        <v>720</v>
      </c>
      <c r="D33" s="17" t="n">
        <v>0.012</v>
      </c>
      <c r="E33" s="18">
        <f>$C$8</f>
        <v/>
      </c>
      <c r="F33" s="18">
        <f>$C$9</f>
        <v/>
      </c>
      <c r="G33" s="19">
        <f>IF(OR(D33&gt;E33,D33&lt;F33),1,0)</f>
        <v/>
      </c>
      <c r="H33" s="19">
        <f>IF(G33=1,"SPECIAL CAUSE","In Control")</f>
        <v/>
      </c>
    </row>
    <row r="34">
      <c r="B34" s="16" t="inlineStr">
        <is>
          <t>2015-W21</t>
        </is>
      </c>
      <c r="C34" s="16" t="n">
        <v>705</v>
      </c>
      <c r="D34" s="17" t="n">
        <v>-0.023</v>
      </c>
      <c r="E34" s="18">
        <f>$C$8</f>
        <v/>
      </c>
      <c r="F34" s="18">
        <f>$C$9</f>
        <v/>
      </c>
      <c r="G34" s="19">
        <f>IF(OR(D34&gt;E34,D34&lt;F34),1,0)</f>
        <v/>
      </c>
      <c r="H34" s="19">
        <f>IF(G34=1,"SPECIAL CAUSE","In Control")</f>
        <v/>
      </c>
    </row>
    <row r="35">
      <c r="B35" s="16" t="inlineStr">
        <is>
          <t>2015-W22</t>
        </is>
      </c>
      <c r="C35" s="16" t="n">
        <v>700</v>
      </c>
      <c r="D35" s="17" t="n">
        <v>0.045</v>
      </c>
      <c r="E35" s="18">
        <f>$C$8</f>
        <v/>
      </c>
      <c r="F35" s="18">
        <f>$C$9</f>
        <v/>
      </c>
      <c r="G35" s="19">
        <f>IF(OR(D35&gt;E35,D35&lt;F35),1,0)</f>
        <v/>
      </c>
      <c r="H35" s="19">
        <f>IF(G35=1,"SPECIAL CAUSE","In Control")</f>
        <v/>
      </c>
    </row>
    <row r="36">
      <c r="B36" s="16" t="inlineStr">
        <is>
          <t>2015-W23</t>
        </is>
      </c>
      <c r="C36" s="16" t="n">
        <v>715</v>
      </c>
      <c r="D36" s="17" t="n">
        <v>-0.034</v>
      </c>
      <c r="E36" s="18">
        <f>$C$8</f>
        <v/>
      </c>
      <c r="F36" s="18">
        <f>$C$9</f>
        <v/>
      </c>
      <c r="G36" s="19">
        <f>IF(OR(D36&gt;E36,D36&lt;F36),1,0)</f>
        <v/>
      </c>
      <c r="H36" s="19">
        <f>IF(G36=1,"SPECIAL CAUSE","In Control")</f>
        <v/>
      </c>
    </row>
    <row r="37">
      <c r="B37" s="16" t="inlineStr">
        <is>
          <t>2015-W24</t>
        </is>
      </c>
      <c r="C37" s="16" t="n">
        <v>710</v>
      </c>
      <c r="D37" s="17" t="n">
        <v>0.011</v>
      </c>
      <c r="E37" s="18">
        <f>$C$8</f>
        <v/>
      </c>
      <c r="F37" s="18">
        <f>$C$9</f>
        <v/>
      </c>
      <c r="G37" s="19">
        <f>IF(OR(D37&gt;E37,D37&lt;F37),1,0)</f>
        <v/>
      </c>
      <c r="H37" s="19">
        <f>IF(G37=1,"SPECIAL CAUSE","In Control")</f>
        <v/>
      </c>
    </row>
    <row r="38">
      <c r="B38" s="16" t="inlineStr">
        <is>
          <t>2015-W25</t>
        </is>
      </c>
      <c r="C38" s="16" t="n">
        <v>695</v>
      </c>
      <c r="D38" s="17" t="n">
        <v>0.078</v>
      </c>
      <c r="E38" s="18">
        <f>$C$8</f>
        <v/>
      </c>
      <c r="F38" s="18">
        <f>$C$9</f>
        <v/>
      </c>
      <c r="G38" s="19">
        <f>IF(OR(D38&gt;E38,D38&lt;F38),1,0)</f>
        <v/>
      </c>
      <c r="H38" s="19">
        <f>IF(G38=1,"SPECIAL CAUSE","In Control")</f>
        <v/>
      </c>
    </row>
    <row r="39">
      <c r="B39" s="16" t="inlineStr">
        <is>
          <t>2015-W26</t>
        </is>
      </c>
      <c r="C39" s="16" t="n">
        <v>700</v>
      </c>
      <c r="D39" s="17" t="n">
        <v>-0.089</v>
      </c>
      <c r="E39" s="18">
        <f>$C$8</f>
        <v/>
      </c>
      <c r="F39" s="18">
        <f>$C$9</f>
        <v/>
      </c>
      <c r="G39" s="19">
        <f>IF(OR(D39&gt;E39,D39&lt;F39),1,0)</f>
        <v/>
      </c>
      <c r="H39" s="19">
        <f>IF(G39=1,"SPECIAL CAUSE","In Control")</f>
        <v/>
      </c>
    </row>
    <row r="40">
      <c r="B40" s="16" t="inlineStr">
        <is>
          <t>2015-W27</t>
        </is>
      </c>
      <c r="C40" s="16" t="n">
        <v>715</v>
      </c>
      <c r="D40" s="17" t="n">
        <v>0.045</v>
      </c>
      <c r="E40" s="18">
        <f>$C$8</f>
        <v/>
      </c>
      <c r="F40" s="18">
        <f>$C$9</f>
        <v/>
      </c>
      <c r="G40" s="19">
        <f>IF(OR(D40&gt;E40,D40&lt;F40),1,0)</f>
        <v/>
      </c>
      <c r="H40" s="19">
        <f>IF(G40=1,"SPECIAL CAUSE","In Control")</f>
        <v/>
      </c>
    </row>
    <row r="41">
      <c r="B41" s="16" t="inlineStr">
        <is>
          <t>2015-W28</t>
        </is>
      </c>
      <c r="C41" s="16" t="n">
        <v>710</v>
      </c>
      <c r="D41" s="17" t="n">
        <v>-0.012</v>
      </c>
      <c r="E41" s="18">
        <f>$C$8</f>
        <v/>
      </c>
      <c r="F41" s="18">
        <f>$C$9</f>
        <v/>
      </c>
      <c r="G41" s="19">
        <f>IF(OR(D41&gt;E41,D41&lt;F41),1,0)</f>
        <v/>
      </c>
      <c r="H41" s="19">
        <f>IF(G41=1,"SPECIAL CAUSE","In Control")</f>
        <v/>
      </c>
    </row>
    <row r="42">
      <c r="B42" s="16" t="inlineStr">
        <is>
          <t>2015-W29</t>
        </is>
      </c>
      <c r="C42" s="16" t="n">
        <v>720</v>
      </c>
      <c r="D42" s="17" t="n">
        <v>0.034</v>
      </c>
      <c r="E42" s="18">
        <f>$C$8</f>
        <v/>
      </c>
      <c r="F42" s="18">
        <f>$C$9</f>
        <v/>
      </c>
      <c r="G42" s="19">
        <f>IF(OR(D42&gt;E42,D42&lt;F42),1,0)</f>
        <v/>
      </c>
      <c r="H42" s="19">
        <f>IF(G42=1,"SPECIAL CAUSE","In Control")</f>
        <v/>
      </c>
    </row>
    <row r="43">
      <c r="B43" s="16" t="inlineStr">
        <is>
          <t>2015-W30</t>
        </is>
      </c>
      <c r="C43" s="16" t="n">
        <v>705</v>
      </c>
      <c r="D43" s="17" t="n">
        <v>0.023</v>
      </c>
      <c r="E43" s="18">
        <f>$C$8</f>
        <v/>
      </c>
      <c r="F43" s="18">
        <f>$C$9</f>
        <v/>
      </c>
      <c r="G43" s="19">
        <f>IF(OR(D43&gt;E43,D43&lt;F43),1,0)</f>
        <v/>
      </c>
      <c r="H43" s="19">
        <f>IF(G43=1,"SPECIAL CAUSE","In Control")</f>
        <v/>
      </c>
    </row>
    <row r="45">
      <c r="B45" s="3" t="inlineStr">
        <is>
          <t>TOTALS:</t>
        </is>
      </c>
      <c r="C45" s="20">
        <f>SUM(C14:C43)</f>
        <v/>
      </c>
      <c r="D45" s="21">
        <f>AVERAGE(D14:D43)</f>
        <v/>
      </c>
      <c r="G45" s="22">
        <f>SUM(G14:G43)</f>
        <v/>
      </c>
      <c r="H45" s="22">
        <f>IF(G45&gt;0,"NOT IN CONTROL","IN CONTROL")</f>
        <v/>
      </c>
    </row>
    <row r="47">
      <c r="B47" s="7" t="inlineStr">
        <is>
          <t>Note:</t>
        </is>
      </c>
      <c r="C47" s="7" t="inlineStr">
        <is>
          <t>Full 162-week analysis: 7 Special Cause weeks (4.3%) per outputs/spc_weekly.csv</t>
        </is>
      </c>
    </row>
  </sheetData>
  <mergeCells count="3">
    <mergeCell ref="B2:H2"/>
    <mergeCell ref="C47:H47"/>
    <mergeCell ref="B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17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1" customWidth="1" min="4" max="4"/>
    <col width="11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12" customWidth="1" min="13" max="13"/>
  </cols>
  <sheetData>
    <row r="2" ht="28" customHeight="1">
      <c r="B2" s="1" t="inlineStr">
        <is>
          <t>EOQ + SAFETY STOCK CALCULATOR (Top 10 Categories)</t>
        </is>
      </c>
    </row>
    <row r="4">
      <c r="B4" s="7" t="inlineStr">
        <is>
          <t>EOQ = SQRT(2*D*S/H)  |  SS = Z*SQRT(L*sigma_d^2 + d^2*sigma_L^2)  |  ROP = d*L + SS</t>
        </is>
      </c>
    </row>
    <row r="6">
      <c r="B6" s="5" t="inlineStr">
        <is>
          <t>Category</t>
        </is>
      </c>
      <c r="C6" s="5" t="inlineStr">
        <is>
          <t>D (annual)</t>
        </is>
      </c>
      <c r="D6" s="5" t="inlineStr">
        <is>
          <t>Unit price</t>
        </is>
      </c>
      <c r="E6" s="5" t="inlineStr">
        <is>
          <t>H (=25%*$)</t>
        </is>
      </c>
      <c r="F6" s="5" t="inlineStr">
        <is>
          <t>EOQ</t>
        </is>
      </c>
      <c r="G6" s="5" t="inlineStr">
        <is>
          <t>d_daily</t>
        </is>
      </c>
      <c r="H6" s="5" t="inlineStr">
        <is>
          <t>sigma_d</t>
        </is>
      </c>
      <c r="I6" s="5" t="inlineStr">
        <is>
          <t>L_mean</t>
        </is>
      </c>
      <c r="J6" s="5" t="inlineStr">
        <is>
          <t>sigma_L</t>
        </is>
      </c>
      <c r="K6" s="5" t="inlineStr">
        <is>
          <t>SS</t>
        </is>
      </c>
      <c r="L6" s="5" t="inlineStr">
        <is>
          <t>ROP</t>
        </is>
      </c>
      <c r="M6" s="5" t="inlineStr">
        <is>
          <t>Savings $</t>
        </is>
      </c>
    </row>
    <row r="7">
      <c r="B7" s="16" t="inlineStr">
        <is>
          <t>Cleats</t>
        </is>
      </c>
      <c r="C7" s="23" t="n">
        <v>24578</v>
      </c>
      <c r="D7" s="24" t="n">
        <v>60.11</v>
      </c>
      <c r="E7" s="25">
        <f>D7*HoldingPct</f>
        <v/>
      </c>
      <c r="F7" s="26">
        <f>SQRT(2*C7*OrderCost/E7)</f>
        <v/>
      </c>
      <c r="G7" s="23" t="n">
        <v>68.27</v>
      </c>
      <c r="H7" s="23" t="n">
        <v>16.71</v>
      </c>
      <c r="I7" s="23" t="n">
        <v>3.51</v>
      </c>
      <c r="J7" s="23" t="n">
        <v>1.63</v>
      </c>
      <c r="K7" s="27">
        <f>ServiceZ*SQRT(I7*H7^2+G7^2*J7^2)</f>
        <v/>
      </c>
      <c r="L7" s="27">
        <f>G7*I7+K7</f>
        <v/>
      </c>
      <c r="M7" s="28">
        <f>(C7/(C7/StatusQuoQ))*OrderCost+((C7/StatusQuoQ)/2)*E7-((C7/F7)*OrderCost+(F7/2)*E7)</f>
        <v/>
      </c>
    </row>
    <row r="8">
      <c r="B8" s="16" t="inlineStr">
        <is>
          <t>Women's Apparel</t>
        </is>
      </c>
      <c r="C8" s="23" t="n">
        <v>20985</v>
      </c>
      <c r="D8" s="24" t="n">
        <v>50</v>
      </c>
      <c r="E8" s="25">
        <f>D8*HoldingPct</f>
        <v/>
      </c>
      <c r="F8" s="26">
        <f>SQRT(2*C8*OrderCost/E8)</f>
        <v/>
      </c>
      <c r="G8" s="23" t="n">
        <v>58.29</v>
      </c>
      <c r="H8" s="23" t="n">
        <v>15.98</v>
      </c>
      <c r="I8" s="23" t="n">
        <v>3.48</v>
      </c>
      <c r="J8" s="23" t="n">
        <v>1.62</v>
      </c>
      <c r="K8" s="27">
        <f>ServiceZ*SQRT(I8*H8^2+G8^2*J8^2)</f>
        <v/>
      </c>
      <c r="L8" s="27">
        <f>G8*I8+K8</f>
        <v/>
      </c>
      <c r="M8" s="28">
        <f>(C8/(C8/StatusQuoQ))*OrderCost+((C8/StatusQuoQ)/2)*E8-((C8/F8)*OrderCost+(F8/2)*E8)</f>
        <v/>
      </c>
    </row>
    <row r="9">
      <c r="B9" s="16" t="inlineStr">
        <is>
          <t>Indoor/Outdoor</t>
        </is>
      </c>
      <c r="C9" s="23" t="n">
        <v>19268</v>
      </c>
      <c r="D9" s="24" t="n">
        <v>49.98</v>
      </c>
      <c r="E9" s="25">
        <f>D9*HoldingPct</f>
        <v/>
      </c>
      <c r="F9" s="26">
        <f>SQRT(2*C9*OrderCost/E9)</f>
        <v/>
      </c>
      <c r="G9" s="23" t="n">
        <v>53.52</v>
      </c>
      <c r="H9" s="23" t="n">
        <v>14.81</v>
      </c>
      <c r="I9" s="23" t="n">
        <v>3.5</v>
      </c>
      <c r="J9" s="23" t="n">
        <v>1.63</v>
      </c>
      <c r="K9" s="27">
        <f>ServiceZ*SQRT(I9*H9^2+G9^2*J9^2)</f>
        <v/>
      </c>
      <c r="L9" s="27">
        <f>G9*I9+K9</f>
        <v/>
      </c>
      <c r="M9" s="28">
        <f>(C9/(C9/StatusQuoQ))*OrderCost+((C9/StatusQuoQ)/2)*E9-((C9/F9)*OrderCost+(F9/2)*E9)</f>
        <v/>
      </c>
    </row>
    <row r="10">
      <c r="B10" s="16" t="inlineStr">
        <is>
          <t>Cardio Equipment</t>
        </is>
      </c>
      <c r="C10" s="23" t="n">
        <v>12529</v>
      </c>
      <c r="D10" s="24" t="n">
        <v>98.3</v>
      </c>
      <c r="E10" s="25">
        <f>D10*HoldingPct</f>
        <v/>
      </c>
      <c r="F10" s="26">
        <f>SQRT(2*C10*OrderCost/E10)</f>
        <v/>
      </c>
      <c r="G10" s="23" t="n">
        <v>34.8</v>
      </c>
      <c r="H10" s="23" t="n">
        <v>12.25</v>
      </c>
      <c r="I10" s="23" t="n">
        <v>3.5</v>
      </c>
      <c r="J10" s="23" t="n">
        <v>1.62</v>
      </c>
      <c r="K10" s="27">
        <f>ServiceZ*SQRT(I10*H10^2+G10^2*J10^2)</f>
        <v/>
      </c>
      <c r="L10" s="27">
        <f>G10*I10+K10</f>
        <v/>
      </c>
      <c r="M10" s="28">
        <f>(C10/(C10/StatusQuoQ))*OrderCost+((C10/StatusQuoQ)/2)*E10-((C10/F10)*OrderCost+(F10/2)*E10)</f>
        <v/>
      </c>
    </row>
    <row r="11">
      <c r="B11" s="16" t="inlineStr">
        <is>
          <t>Shop By Sport</t>
        </is>
      </c>
      <c r="C11" s="23" t="n">
        <v>10909</v>
      </c>
      <c r="D11" s="24" t="n">
        <v>40.01</v>
      </c>
      <c r="E11" s="25">
        <f>D11*HoldingPct</f>
        <v/>
      </c>
      <c r="F11" s="26">
        <f>SQRT(2*C11*OrderCost/E11)</f>
        <v/>
      </c>
      <c r="G11" s="23" t="n">
        <v>30.3</v>
      </c>
      <c r="H11" s="23" t="n">
        <v>10.93</v>
      </c>
      <c r="I11" s="23" t="n">
        <v>3.49</v>
      </c>
      <c r="J11" s="23" t="n">
        <v>1.63</v>
      </c>
      <c r="K11" s="27">
        <f>ServiceZ*SQRT(I11*H11^2+G11^2*J11^2)</f>
        <v/>
      </c>
      <c r="L11" s="27">
        <f>G11*I11+K11</f>
        <v/>
      </c>
      <c r="M11" s="28">
        <f>(C11/(C11/StatusQuoQ))*OrderCost+((C11/StatusQuoQ)/2)*E11-((C11/F11)*OrderCost+(F11/2)*E11)</f>
        <v/>
      </c>
    </row>
    <row r="12">
      <c r="B12" s="16" t="inlineStr">
        <is>
          <t>Men's Footwear</t>
        </is>
      </c>
      <c r="C12" s="23" t="n">
        <v>7415</v>
      </c>
      <c r="D12" s="24" t="n">
        <v>129.99</v>
      </c>
      <c r="E12" s="25">
        <f>D12*HoldingPct</f>
        <v/>
      </c>
      <c r="F12" s="26">
        <f>SQRT(2*C12*OrderCost/E12)</f>
        <v/>
      </c>
      <c r="G12" s="23" t="n">
        <v>20.6</v>
      </c>
      <c r="H12" s="23" t="n">
        <v>4.86</v>
      </c>
      <c r="I12" s="23" t="n">
        <v>3.5</v>
      </c>
      <c r="J12" s="23" t="n">
        <v>1.62</v>
      </c>
      <c r="K12" s="27">
        <f>ServiceZ*SQRT(I12*H12^2+G12^2*J12^2)</f>
        <v/>
      </c>
      <c r="L12" s="27">
        <f>G12*I12+K12</f>
        <v/>
      </c>
      <c r="M12" s="28">
        <f>(C12/(C12/StatusQuoQ))*OrderCost+((C12/StatusQuoQ)/2)*E12-((C12/F12)*OrderCost+(F12/2)*E12)</f>
        <v/>
      </c>
    </row>
    <row r="13">
      <c r="B13" s="16" t="inlineStr">
        <is>
          <t>Fishing</t>
        </is>
      </c>
      <c r="C13" s="23" t="n">
        <v>5775</v>
      </c>
      <c r="D13" s="24" t="n">
        <v>399.98</v>
      </c>
      <c r="E13" s="25">
        <f>D13*HoldingPct</f>
        <v/>
      </c>
      <c r="F13" s="26">
        <f>SQRT(2*C13*OrderCost/E13)</f>
        <v/>
      </c>
      <c r="G13" s="23" t="n">
        <v>16.04</v>
      </c>
      <c r="H13" s="23" t="n">
        <v>4.25</v>
      </c>
      <c r="I13" s="23" t="n">
        <v>3.5</v>
      </c>
      <c r="J13" s="23" t="n">
        <v>1.61</v>
      </c>
      <c r="K13" s="27">
        <f>ServiceZ*SQRT(I13*H13^2+G13^2*J13^2)</f>
        <v/>
      </c>
      <c r="L13" s="27">
        <f>G13*I13+K13</f>
        <v/>
      </c>
      <c r="M13" s="28">
        <f>(C13/(C13/StatusQuoQ))*OrderCost+((C13/StatusQuoQ)/2)*E13-((C13/F13)*OrderCost+(F13/2)*E13)</f>
        <v/>
      </c>
    </row>
    <row r="14">
      <c r="B14" s="16" t="inlineStr">
        <is>
          <t>Water Sports</t>
        </is>
      </c>
      <c r="C14" s="23" t="n">
        <v>5180</v>
      </c>
      <c r="D14" s="24" t="n">
        <v>200.38</v>
      </c>
      <c r="E14" s="25">
        <f>D14*HoldingPct</f>
        <v/>
      </c>
      <c r="F14" s="26">
        <f>SQRT(2*C14*OrderCost/E14)</f>
        <v/>
      </c>
      <c r="G14" s="23" t="n">
        <v>14.39</v>
      </c>
      <c r="H14" s="23" t="n">
        <v>4.1</v>
      </c>
      <c r="I14" s="23" t="n">
        <v>3.48</v>
      </c>
      <c r="J14" s="23" t="n">
        <v>1.62</v>
      </c>
      <c r="K14" s="27">
        <f>ServiceZ*SQRT(I14*H14^2+G14^2*J14^2)</f>
        <v/>
      </c>
      <c r="L14" s="27">
        <f>G14*I14+K14</f>
        <v/>
      </c>
      <c r="M14" s="28">
        <f>(C14/(C14/StatusQuoQ))*OrderCost+((C14/StatusQuoQ)/2)*E14-((C14/F14)*OrderCost+(F14/2)*E14)</f>
        <v/>
      </c>
    </row>
    <row r="15">
      <c r="B15" s="16" t="inlineStr">
        <is>
          <t>Camping &amp; Hiking</t>
        </is>
      </c>
      <c r="C15" s="23" t="n">
        <v>4576</v>
      </c>
      <c r="D15" s="24" t="n">
        <v>299.98</v>
      </c>
      <c r="E15" s="25">
        <f>D15*HoldingPct</f>
        <v/>
      </c>
      <c r="F15" s="26">
        <f>SQRT(2*C15*OrderCost/E15)</f>
        <v/>
      </c>
      <c r="G15" s="23" t="n">
        <v>12.71</v>
      </c>
      <c r="H15" s="23" t="n">
        <v>3.74</v>
      </c>
      <c r="I15" s="23" t="n">
        <v>3.5</v>
      </c>
      <c r="J15" s="23" t="n">
        <v>1.63</v>
      </c>
      <c r="K15" s="27">
        <f>ServiceZ*SQRT(I15*H15^2+G15^2*J15^2)</f>
        <v/>
      </c>
      <c r="L15" s="27">
        <f>G15*I15+K15</f>
        <v/>
      </c>
      <c r="M15" s="28">
        <f>(C15/(C15/StatusQuoQ))*OrderCost+((C15/StatusQuoQ)/2)*E15-((C15/F15)*OrderCost+(F15/2)*E15)</f>
        <v/>
      </c>
    </row>
    <row r="16">
      <c r="B16" s="16" t="inlineStr">
        <is>
          <t>Electronics</t>
        </is>
      </c>
      <c r="C16" s="23" t="n">
        <v>3145</v>
      </c>
      <c r="D16" s="24" t="n">
        <v>39.32</v>
      </c>
      <c r="E16" s="25">
        <f>D16*HoldingPct</f>
        <v/>
      </c>
      <c r="F16" s="26">
        <f>SQRT(2*C16*OrderCost/E16)</f>
        <v/>
      </c>
      <c r="G16" s="23" t="n">
        <v>8.74</v>
      </c>
      <c r="H16" s="23" t="n">
        <v>6.31</v>
      </c>
      <c r="I16" s="23" t="n">
        <v>3.49</v>
      </c>
      <c r="J16" s="23" t="n">
        <v>1.63</v>
      </c>
      <c r="K16" s="27">
        <f>ServiceZ*SQRT(I16*H16^2+G16^2*J16^2)</f>
        <v/>
      </c>
      <c r="L16" s="27">
        <f>G16*I16+K16</f>
        <v/>
      </c>
      <c r="M16" s="28">
        <f>(C16/(C16/StatusQuoQ))*OrderCost+((C16/StatusQuoQ)/2)*E16-((C16/F16)*OrderCost+(F16/2)*E16)</f>
        <v/>
      </c>
    </row>
    <row r="17">
      <c r="B17" s="3" t="inlineStr">
        <is>
          <t>TOTAL</t>
        </is>
      </c>
      <c r="C17" s="20">
        <f>SUM(C7:C16)</f>
        <v/>
      </c>
      <c r="M17" s="29">
        <f>SUM(M7:M16)</f>
        <v/>
      </c>
    </row>
  </sheetData>
  <mergeCells count="2">
    <mergeCell ref="B2:L2"/>
    <mergeCell ref="B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8" customWidth="1" min="4" max="4"/>
    <col width="8" customWidth="1" min="5" max="5"/>
    <col width="8" customWidth="1" min="6" max="6"/>
    <col width="10" customWidth="1" min="7" max="7"/>
    <col width="24" customWidth="1" min="8" max="8"/>
    <col width="12" customWidth="1" min="9" max="9"/>
  </cols>
  <sheetData>
    <row r="2" ht="28" customHeight="1">
      <c r="B2" s="1" t="inlineStr">
        <is>
          <t>AUTOMATED REORDER ALERT ENGINE</t>
        </is>
      </c>
    </row>
    <row r="4">
      <c r="B4" s="7" t="inlineStr">
        <is>
          <t>Decision logic: stock &lt; SS = RED | stock &lt; ROP = YELLOW | else GREEN</t>
        </is>
      </c>
    </row>
    <row r="6">
      <c r="B6" s="5" t="inlineStr">
        <is>
          <t>Category</t>
        </is>
      </c>
      <c r="C6" s="5" t="inlineStr">
        <is>
          <t>Current Stock</t>
        </is>
      </c>
      <c r="D6" s="5" t="inlineStr">
        <is>
          <t>SS</t>
        </is>
      </c>
      <c r="E6" s="5" t="inlineStr">
        <is>
          <t>ROP</t>
        </is>
      </c>
      <c r="F6" s="5" t="inlineStr">
        <is>
          <t>EOQ</t>
        </is>
      </c>
      <c r="G6" s="5" t="inlineStr">
        <is>
          <t>Status</t>
        </is>
      </c>
      <c r="H6" s="5" t="inlineStr">
        <is>
          <t>Action</t>
        </is>
      </c>
      <c r="I6" s="5" t="inlineStr">
        <is>
          <t>Order Qty</t>
        </is>
      </c>
    </row>
    <row r="7">
      <c r="B7" s="16" t="inlineStr">
        <is>
          <t>Cleats</t>
        </is>
      </c>
      <c r="C7" s="23" t="n">
        <v>150</v>
      </c>
      <c r="D7" s="30" t="n">
        <v>191</v>
      </c>
      <c r="E7" s="30" t="n">
        <v>430</v>
      </c>
      <c r="F7" s="30" t="n">
        <v>404</v>
      </c>
      <c r="G7" s="31">
        <f>IF(C7&lt;=D7,"RED",IF(C7&lt;=E7,"YELLOW","GREEN"))</f>
        <v/>
      </c>
      <c r="H7" s="19">
        <f>IF(G7="RED","CRITICAL — Order NOW",IF(G7="YELLOW","Reorder within 24h","OK"))</f>
        <v/>
      </c>
      <c r="I7" s="19">
        <f>IF(G7&lt;&gt;"GREEN",F7,0)</f>
        <v/>
      </c>
    </row>
    <row r="8">
      <c r="B8" s="16" t="inlineStr">
        <is>
          <t>Women's Apparel</t>
        </is>
      </c>
      <c r="C8" s="23" t="n">
        <v>500</v>
      </c>
      <c r="D8" s="30" t="n">
        <v>163</v>
      </c>
      <c r="E8" s="30" t="n">
        <v>367</v>
      </c>
      <c r="F8" s="30" t="n">
        <v>410</v>
      </c>
      <c r="G8" s="32">
        <f>IF(C8&lt;=D8,"RED",IF(C8&lt;=E8,"YELLOW","GREEN"))</f>
        <v/>
      </c>
      <c r="H8" s="19">
        <f>IF(G8="RED","CRITICAL — Order NOW",IF(G8="YELLOW","Reorder within 24h","OK"))</f>
        <v/>
      </c>
      <c r="I8" s="19">
        <f>IF(G8&lt;&gt;"GREEN",F8,0)</f>
        <v/>
      </c>
    </row>
    <row r="9">
      <c r="B9" s="16" t="inlineStr">
        <is>
          <t>Indoor/Outdoor</t>
        </is>
      </c>
      <c r="C9" s="23" t="n">
        <v>320</v>
      </c>
      <c r="D9" s="30" t="n">
        <v>151</v>
      </c>
      <c r="E9" s="30" t="n">
        <v>338</v>
      </c>
      <c r="F9" s="30" t="n">
        <v>393</v>
      </c>
      <c r="G9" s="33">
        <f>IF(C9&lt;=D9,"RED",IF(C9&lt;=E9,"YELLOW","GREEN"))</f>
        <v/>
      </c>
      <c r="H9" s="19">
        <f>IF(G9="RED","CRITICAL — Order NOW",IF(G9="YELLOW","Reorder within 24h","OK"))</f>
        <v/>
      </c>
      <c r="I9" s="19">
        <f>IF(G9&lt;&gt;"GREEN",F9,0)</f>
        <v/>
      </c>
    </row>
    <row r="10">
      <c r="B10" s="16" t="inlineStr">
        <is>
          <t>Cardio Equipment</t>
        </is>
      </c>
      <c r="C10" s="23" t="n">
        <v>80</v>
      </c>
      <c r="D10" s="30" t="n">
        <v>100</v>
      </c>
      <c r="E10" s="30" t="n">
        <v>222</v>
      </c>
      <c r="F10" s="30" t="n">
        <v>226</v>
      </c>
      <c r="G10" s="31">
        <f>IF(C10&lt;=D10,"RED",IF(C10&lt;=E10,"YELLOW","GREEN"))</f>
        <v/>
      </c>
      <c r="H10" s="19">
        <f>IF(G10="RED","CRITICAL — Order NOW",IF(G10="YELLOW","Reorder within 24h","OK"))</f>
        <v/>
      </c>
      <c r="I10" s="19">
        <f>IF(G10&lt;&gt;"GREEN",F10,0)</f>
        <v/>
      </c>
    </row>
    <row r="11">
      <c r="B11" s="16" t="inlineStr">
        <is>
          <t>Shop By Sport</t>
        </is>
      </c>
      <c r="C11" s="23" t="n">
        <v>500</v>
      </c>
      <c r="D11" s="30" t="n">
        <v>88</v>
      </c>
      <c r="E11" s="30" t="n">
        <v>194</v>
      </c>
      <c r="F11" s="30" t="n">
        <v>330</v>
      </c>
      <c r="G11" s="32">
        <f>IF(C11&lt;=D11,"RED",IF(C11&lt;=E11,"YELLOW","GREEN"))</f>
        <v/>
      </c>
      <c r="H11" s="19">
        <f>IF(G11="RED","CRITICAL — Order NOW",IF(G11="YELLOW","Reorder within 24h","OK"))</f>
        <v/>
      </c>
      <c r="I11" s="19">
        <f>IF(G11&lt;&gt;"GREEN",F11,0)</f>
        <v/>
      </c>
    </row>
    <row r="12">
      <c r="B12" s="16" t="inlineStr">
        <is>
          <t>Men's Footwear</t>
        </is>
      </c>
      <c r="C12" s="23" t="n">
        <v>140</v>
      </c>
      <c r="D12" s="30" t="n">
        <v>57</v>
      </c>
      <c r="E12" s="30" t="n">
        <v>129</v>
      </c>
      <c r="F12" s="30" t="n">
        <v>151</v>
      </c>
      <c r="G12" s="32">
        <f>IF(C12&lt;=D12,"RED",IF(C12&lt;=E12,"YELLOW","GREEN"))</f>
        <v/>
      </c>
      <c r="H12" s="19">
        <f>IF(G12="RED","CRITICAL — Order NOW",IF(G12="YELLOW","Reorder within 24h","OK"))</f>
        <v/>
      </c>
      <c r="I12" s="19">
        <f>IF(G12&lt;&gt;"GREEN",F12,0)</f>
        <v/>
      </c>
    </row>
    <row r="13">
      <c r="B13" s="16" t="inlineStr">
        <is>
          <t>Fishing</t>
        </is>
      </c>
      <c r="C13" s="23" t="n">
        <v>50</v>
      </c>
      <c r="D13" s="30" t="n">
        <v>45</v>
      </c>
      <c r="E13" s="30" t="n">
        <v>101</v>
      </c>
      <c r="F13" s="30" t="n">
        <v>76</v>
      </c>
      <c r="G13" s="33">
        <f>IF(C13&lt;=D13,"RED",IF(C13&lt;=E13,"YELLOW","GREEN"))</f>
        <v/>
      </c>
      <c r="H13" s="19">
        <f>IF(G13="RED","CRITICAL — Order NOW",IF(G13="YELLOW","Reorder within 24h","OK"))</f>
        <v/>
      </c>
      <c r="I13" s="19">
        <f>IF(G13&lt;&gt;"GREEN",F13,0)</f>
        <v/>
      </c>
    </row>
    <row r="14">
      <c r="B14" s="16" t="inlineStr">
        <is>
          <t>Water Sports</t>
        </is>
      </c>
      <c r="C14" s="23" t="n">
        <v>200</v>
      </c>
      <c r="D14" s="30" t="n">
        <v>41</v>
      </c>
      <c r="E14" s="30" t="n">
        <v>91</v>
      </c>
      <c r="F14" s="30" t="n">
        <v>102</v>
      </c>
      <c r="G14" s="32">
        <f>IF(C14&lt;=D14,"RED",IF(C14&lt;=E14,"YELLOW","GREEN"))</f>
        <v/>
      </c>
      <c r="H14" s="19">
        <f>IF(G14="RED","CRITICAL — Order NOW",IF(G14="YELLOW","Reorder within 24h","OK"))</f>
        <v/>
      </c>
      <c r="I14" s="19">
        <f>IF(G14&lt;&gt;"GREEN",F14,0)</f>
        <v/>
      </c>
    </row>
    <row r="15">
      <c r="B15" s="16" t="inlineStr">
        <is>
          <t>Camping &amp; Hiking</t>
        </is>
      </c>
      <c r="C15" s="23" t="n">
        <v>90</v>
      </c>
      <c r="D15" s="30" t="n">
        <v>36</v>
      </c>
      <c r="E15" s="30" t="n">
        <v>80</v>
      </c>
      <c r="F15" s="30" t="n">
        <v>78</v>
      </c>
      <c r="G15" s="32">
        <f>IF(C15&lt;=D15,"RED",IF(C15&lt;=E15,"YELLOW","GREEN"))</f>
        <v/>
      </c>
      <c r="H15" s="19">
        <f>IF(G15="RED","CRITICAL — Order NOW",IF(G15="YELLOW","Reorder within 24h","OK"))</f>
        <v/>
      </c>
      <c r="I15" s="19">
        <f>IF(G15&lt;&gt;"GREEN",F15,0)</f>
        <v/>
      </c>
    </row>
    <row r="16">
      <c r="B16" s="16" t="inlineStr">
        <is>
          <t>Electronics</t>
        </is>
      </c>
      <c r="C16" s="23" t="n">
        <v>25</v>
      </c>
      <c r="D16" s="30" t="n">
        <v>31</v>
      </c>
      <c r="E16" s="30" t="n">
        <v>61</v>
      </c>
      <c r="F16" s="30" t="n">
        <v>179</v>
      </c>
      <c r="G16" s="31">
        <f>IF(C16&lt;=D16,"RED",IF(C16&lt;=E16,"YELLOW","GREEN"))</f>
        <v/>
      </c>
      <c r="H16" s="19">
        <f>IF(G16="RED","CRITICAL — Order NOW",IF(G16="YELLOW","Reorder within 24h","OK"))</f>
        <v/>
      </c>
      <c r="I16" s="19">
        <f>IF(G16&lt;&gt;"GREEN",F16,0)</f>
        <v/>
      </c>
    </row>
  </sheetData>
  <mergeCells count="2">
    <mergeCell ref="B4:H4"/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50" customWidth="1" min="4" max="4"/>
    <col width="14" customWidth="1" min="5" max="5"/>
    <col width="14" customWidth="1" min="6" max="6"/>
    <col width="32" customWidth="1" min="7" max="7"/>
  </cols>
  <sheetData>
    <row r="2" ht="28" customHeight="1">
      <c r="B2" s="1" t="inlineStr">
        <is>
          <t>AGILE SPRINT BACKLOG (5 Sprints × 2 Weeks)</t>
        </is>
      </c>
    </row>
    <row r="4">
      <c r="B4" s="5" t="inlineStr">
        <is>
          <t>Sprint</t>
        </is>
      </c>
      <c r="C4" s="5" t="inlineStr">
        <is>
          <t>Theme</t>
        </is>
      </c>
      <c r="D4" s="5" t="inlineStr">
        <is>
          <t>Stories</t>
        </is>
      </c>
      <c r="E4" s="5" t="inlineStr">
        <is>
          <t>Story Points</t>
        </is>
      </c>
      <c r="F4" s="5" t="inlineStr">
        <is>
          <t>Owner</t>
        </is>
      </c>
      <c r="G4" s="5" t="inlineStr">
        <is>
          <t>Done Definition</t>
        </is>
      </c>
    </row>
    <row r="5">
      <c r="B5" s="34" t="inlineStr">
        <is>
          <t>S0</t>
        </is>
      </c>
      <c r="C5" s="9" t="inlineStr">
        <is>
          <t>Discovery</t>
        </is>
      </c>
      <c r="D5" s="9" t="inlineStr">
        <is>
          <t>BPMN current state map, 5 Whys workshop, data audit</t>
        </is>
      </c>
      <c r="E5" s="9" t="inlineStr">
        <is>
          <t>13</t>
        </is>
      </c>
      <c r="F5" s="9" t="inlineStr">
        <is>
          <t>Ops Lead</t>
        </is>
      </c>
      <c r="G5" s="9" t="inlineStr">
        <is>
          <t>BPMN diagram + 5 Whys output signed off</t>
        </is>
      </c>
    </row>
    <row r="6">
      <c r="B6" s="34" t="inlineStr">
        <is>
          <t>S1</t>
        </is>
      </c>
      <c r="C6" s="9" t="inlineStr">
        <is>
          <t>Foundation</t>
        </is>
      </c>
      <c r="D6" s="9" t="inlineStr">
        <is>
          <t>3NF schema, ETL pipeline, dim/fact loaders</t>
        </is>
      </c>
      <c r="E6" s="9" t="inlineStr">
        <is>
          <t>21</t>
        </is>
      </c>
      <c r="F6" s="9" t="inlineStr">
        <is>
          <t>Data Eng</t>
        </is>
      </c>
      <c r="G6" s="9" t="inlineStr">
        <is>
          <t>Schema in dev DB, fact loaded</t>
        </is>
      </c>
    </row>
    <row r="7">
      <c r="B7" s="34" t="inlineStr">
        <is>
          <t>S2</t>
        </is>
      </c>
      <c r="C7" s="9" t="inlineStr">
        <is>
          <t>SPC Engine</t>
        </is>
      </c>
      <c r="D7" s="9" t="inlineStr">
        <is>
          <t>X-bar control chart engine, alert dispatcher, 5-Whys ticket workflow</t>
        </is>
      </c>
      <c r="E7" s="9" t="inlineStr">
        <is>
          <t>34</t>
        </is>
      </c>
      <c r="F7" s="9" t="inlineStr">
        <is>
          <t>Data Eng + Ops</t>
        </is>
      </c>
      <c r="G7" s="9" t="inlineStr">
        <is>
          <t>First Special Cause flag fires test alert</t>
        </is>
      </c>
    </row>
    <row r="8">
      <c r="B8" s="34" t="inlineStr">
        <is>
          <t>S3</t>
        </is>
      </c>
      <c r="C8" s="9" t="inlineStr">
        <is>
          <t>EOQ + MVP Dashboard</t>
        </is>
      </c>
      <c r="D8" s="9" t="inlineStr">
        <is>
          <t>EOQ engine, ROP calc, Reorder alert, Tableau MVP (3 sheets)</t>
        </is>
      </c>
      <c r="E8" s="9" t="inlineStr">
        <is>
          <t>34</t>
        </is>
      </c>
      <c r="F8" s="9" t="inlineStr">
        <is>
          <t>Analyst</t>
        </is>
      </c>
      <c r="G8" s="9" t="inlineStr">
        <is>
          <t>Reorder alerts dispatching, Tableau MVP UAT</t>
        </is>
      </c>
    </row>
    <row r="9">
      <c r="B9" s="34" t="inlineStr">
        <is>
          <t>S4</t>
        </is>
      </c>
      <c r="C9" s="9" t="inlineStr">
        <is>
          <t>Drill-through + UAT</t>
        </is>
      </c>
      <c r="D9" s="9" t="inlineStr">
        <is>
          <t>Tableau drill-through, RBAC, audit log, leadership digest</t>
        </is>
      </c>
      <c r="E9" s="9" t="inlineStr">
        <is>
          <t>21</t>
        </is>
      </c>
      <c r="F9" s="9" t="inlineStr">
        <is>
          <t>Analyst + Ops</t>
        </is>
      </c>
      <c r="G9" s="9" t="inlineStr">
        <is>
          <t>Full BRD acceptance criteria met</t>
        </is>
      </c>
    </row>
    <row r="10">
      <c r="B10" s="35" t="inlineStr">
        <is>
          <t>TOTAL</t>
        </is>
      </c>
      <c r="E10" s="36">
        <f>SUM(E5:E9)</f>
        <v/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38" customWidth="1" min="4" max="4"/>
    <col width="24" customWidth="1" min="5" max="5"/>
    <col width="36" customWidth="1" min="6" max="6"/>
  </cols>
  <sheetData>
    <row r="2" ht="28" customHeight="1">
      <c r="B2" s="1" t="inlineStr">
        <is>
          <t>TABLEAU DASHBOARD SPECIFICATION</t>
        </is>
      </c>
    </row>
    <row r="4">
      <c r="B4" s="5" t="inlineStr">
        <is>
          <t>Sheet</t>
        </is>
      </c>
      <c r="C4" s="5" t="inlineStr">
        <is>
          <t>Type</t>
        </is>
      </c>
      <c r="D4" s="5" t="inlineStr">
        <is>
          <t>Content</t>
        </is>
      </c>
      <c r="E4" s="5" t="inlineStr">
        <is>
          <t>Data Source</t>
        </is>
      </c>
      <c r="F4" s="5" t="inlineStr">
        <is>
          <t>Drill-through</t>
        </is>
      </c>
    </row>
    <row r="5">
      <c r="B5" s="9" t="inlineStr">
        <is>
          <t>1. KPI Tile Row</t>
        </is>
      </c>
      <c r="C5" s="9" t="inlineStr">
        <is>
          <t>Numbers</t>
        </is>
      </c>
      <c r="D5" s="9" t="inlineStr">
        <is>
          <t>Late%, avg variance, OOC weeks YTD, $ saved</t>
        </is>
      </c>
      <c r="E5" s="9" t="inlineStr">
        <is>
          <t>fact_fulfillment</t>
        </is>
      </c>
      <c r="F5" s="9" t="inlineStr">
        <is>
          <t>—</t>
        </is>
      </c>
    </row>
    <row r="6">
      <c r="B6" s="9" t="inlineStr">
        <is>
          <t>2. SPC Control Chart</t>
        </is>
      </c>
      <c r="C6" s="9" t="inlineStr">
        <is>
          <t>Line + ref</t>
        </is>
      </c>
      <c r="D6" s="9" t="inlineStr">
        <is>
          <t>X-bar weekly with UCL/LCL, OOC highlighted</t>
        </is>
      </c>
      <c r="E6" s="9" t="inlineStr">
        <is>
          <t>outputs/spc_weekly.csv</t>
        </is>
      </c>
      <c r="F6" s="9" t="inlineStr">
        <is>
          <t>Click flagged week → orders that week</t>
        </is>
      </c>
    </row>
    <row r="7">
      <c r="B7" s="9" t="inlineStr">
        <is>
          <t>3. Late% Heatmap</t>
        </is>
      </c>
      <c r="C7" s="9" t="inlineStr">
        <is>
          <t>Heatmap</t>
        </is>
      </c>
      <c r="D7" s="9" t="inlineStr">
        <is>
          <t>Shipping Mode × Category late %</t>
        </is>
      </c>
      <c r="E7" s="9" t="inlineStr">
        <is>
          <t>dim_ship_mode + dim_category</t>
        </is>
      </c>
      <c r="F7" s="9" t="inlineStr">
        <is>
          <t>Click cell → category orders, top regions</t>
        </is>
      </c>
    </row>
    <row r="8">
      <c r="B8" s="9" t="inlineStr">
        <is>
          <t>4. EOQ Reorder Table</t>
        </is>
      </c>
      <c r="C8" s="9" t="inlineStr">
        <is>
          <t>Table</t>
        </is>
      </c>
      <c r="D8" s="9" t="inlineStr">
        <is>
          <t>10 categories, color-coded urgency</t>
        </is>
      </c>
      <c r="E8" s="9" t="inlineStr">
        <is>
          <t>EOQ_Calc + Reorder_Alert</t>
        </is>
      </c>
      <c r="F8" s="9" t="inlineStr">
        <is>
          <t>Click row → 12-month demand history</t>
        </is>
      </c>
    </row>
    <row r="9">
      <c r="B9" s="9" t="inlineStr">
        <is>
          <t>5. Region Map</t>
        </is>
      </c>
      <c r="C9" s="9" t="inlineStr">
        <is>
          <t>Map</t>
        </is>
      </c>
      <c r="D9" s="9" t="inlineStr">
        <is>
          <t>Late% by Order Region</t>
        </is>
      </c>
      <c r="E9" s="9" t="inlineStr">
        <is>
          <t>dim_region</t>
        </is>
      </c>
      <c r="F9" s="9" t="inlineStr">
        <is>
          <t>Click region → carrier mix, top categories</t>
        </is>
      </c>
    </row>
    <row r="11">
      <c r="B11" s="2" t="inlineStr">
        <is>
          <t>Filters (apply to all sheets)</t>
        </is>
      </c>
    </row>
    <row r="12">
      <c r="B12" t="inlineStr">
        <is>
          <t>• Date range</t>
        </is>
      </c>
    </row>
    <row r="13">
      <c r="B13" t="inlineStr">
        <is>
          <t>• Market</t>
        </is>
      </c>
    </row>
    <row r="14">
      <c r="B14" t="inlineStr">
        <is>
          <t>• Order Region</t>
        </is>
      </c>
    </row>
    <row r="15">
      <c r="B15" t="inlineStr">
        <is>
          <t>• Shipping Mode</t>
        </is>
      </c>
    </row>
    <row r="16">
      <c r="B16" t="inlineStr">
        <is>
          <t>• Department</t>
        </is>
      </c>
    </row>
    <row r="17">
      <c r="B17" t="inlineStr">
        <is>
          <t>• Category</t>
        </is>
      </c>
    </row>
  </sheetData>
  <mergeCells count="2">
    <mergeCell ref="B2:F2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2026-05-10T00:16:24Z</dcterms:created>
  <dcterms:modified xmlns:dcterms="http://purl.org/dc/terms/" xmlns:xsi="http://www.w3.org/2001/XMLSchema-instance" xsi:type="dcterms:W3CDTF">2026-05-10T00:16:24Z</dcterms:modified>
</cp:coreProperties>
</file>