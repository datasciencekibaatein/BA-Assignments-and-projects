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ARRR_Funnel" sheetId="3" state="visible" r:id="rId3"/>
    <sheet xmlns:r="http://schemas.openxmlformats.org/officeDocument/2006/relationships" name="Cohort_Retention" sheetId="4" state="visible" r:id="rId4"/>
    <sheet xmlns:r="http://schemas.openxmlformats.org/officeDocument/2006/relationships" name="MarketBasket" sheetId="5" state="visible" r:id="rId5"/>
    <sheet xmlns:r="http://schemas.openxmlformats.org/officeDocument/2006/relationships" name="Nash_Payoff" sheetId="6" state="visible" r:id="rId6"/>
    <sheet xmlns:r="http://schemas.openxmlformats.org/officeDocument/2006/relationships" name="RFM_STP" sheetId="7" state="visible" r:id="rId7"/>
    <sheet xmlns:r="http://schemas.openxmlformats.org/officeDocument/2006/relationships" name="LTV_CAC_DAX" sheetId="8" state="visible" r:id="rId8"/>
    <sheet xmlns:r="http://schemas.openxmlformats.org/officeDocument/2006/relationships" name="Decision_EV" sheetId="9" state="visible" r:id="rId9"/>
    <sheet xmlns:r="http://schemas.openxmlformats.org/officeDocument/2006/relationships" name="Roadmap_MECE" sheetId="10" state="visible" r:id="rId10"/>
    <sheet xmlns:r="http://schemas.openxmlformats.org/officeDocument/2006/relationships" name="Power_BI_Spec" sheetId="11" state="visible" r:id="rId11"/>
  </sheets>
  <definedNames>
    <definedName name="LTV_Mean">Inputs!$C$5</definedName>
    <definedName name="LTV_Median">Inputs!$C$6</definedName>
    <definedName name="CAC">Inputs!$C$7</definedName>
    <definedName name="AOV">Inputs!$C$8</definedName>
    <definedName name="OrdersPerCust">Inputs!$C$9</definedName>
    <definedName name="TotalCustomers">Inputs!$C$10</definedName>
    <definedName name="TotalRevenue">Inputs!$C$11</definedName>
    <definedName name="ActivationRate">Inputs!$C$12</definedName>
    <definedName name="Retention_M1">Inputs!$C$13</definedName>
    <definedName name="Retention_M12">Inputs!$C$14</definedName>
    <definedName name="Elast_Own">Inputs!$C$15</definedName>
    <definedName name="Elast_Cross">Inputs!$C$16</definedName>
    <definedName name="MarketSize">Inputs!$C$17</definedName>
    <definedName name="Share_Us">Inputs!$C$18</definedName>
    <definedName name="KFactor_Med">Inputs!$C$19</definedName>
    <definedName name="CostPricing">Inputs!$C$20</definedName>
    <definedName name="CostReferral">Inputs!$C$21</definedName>
    <definedName name="DiscountRate">Inputs!$C$22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00"/>
    <numFmt numFmtId="166" formatCode="£#,##0"/>
    <numFmt numFmtId="167" formatCode="£0.00"/>
    <numFmt numFmtId="168" formatCode="0.0"/>
    <numFmt numFmtId="169" formatCode="£#,##0.00"/>
    <numFmt numFmtId="170" formatCode="0.00&quot;x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8"/>
      <sz val="13"/>
    </font>
    <font>
      <b val="1"/>
      <color rgb="001F4E78"/>
    </font>
    <font>
      <name val="Calibri"/>
      <b val="1"/>
      <color rgb="00FFFFFF"/>
      <sz val="12"/>
    </font>
    <font>
      <name val="Calibri"/>
      <b val="1"/>
      <color rgb="000070C0"/>
      <sz val="11"/>
    </font>
    <font>
      <i val="1"/>
      <color rgb="00808080"/>
    </font>
    <font>
      <b val="1"/>
    </font>
    <font>
      <name val="Calibri"/>
      <color rgb="00000000"/>
      <sz val="11"/>
    </font>
    <font>
      <name val="Calibri"/>
      <color rgb="00008000"/>
      <sz val="11"/>
    </font>
    <font>
      <name val="Consolas"/>
      <color rgb="006F2DA8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2E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3" fontId="5" fillId="3" borderId="0" pivotButton="0" quotePrefix="0" xfId="0"/>
    <xf numFmtId="0" fontId="6" fillId="0" borderId="0" pivotButton="0" quotePrefix="0" xfId="0"/>
    <xf numFmtId="10" fontId="5" fillId="3" borderId="0" pivotButton="0" quotePrefix="0" xfId="0"/>
    <xf numFmtId="2" fontId="5" fillId="3" borderId="0" pivotButton="0" quotePrefix="0" xfId="0"/>
    <xf numFmtId="0" fontId="7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164" fontId="8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8" fillId="4" borderId="1" pivotButton="0" quotePrefix="0" xfId="0"/>
    <xf numFmtId="3" fontId="8" fillId="0" borderId="1" pivotButton="0" quotePrefix="0" xfId="0"/>
    <xf numFmtId="0" fontId="4" fillId="2" borderId="0" pivotButton="0" quotePrefix="0" xfId="0"/>
    <xf numFmtId="0" fontId="5" fillId="0" borderId="0" pivotButton="0" quotePrefix="0" xfId="0"/>
    <xf numFmtId="164" fontId="5" fillId="5" borderId="0" pivotButton="0" quotePrefix="0" xfId="0"/>
    <xf numFmtId="164" fontId="5" fillId="6" borderId="0" pivotButton="0" quotePrefix="0" xfId="0"/>
    <xf numFmtId="164" fontId="5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164" fontId="8" fillId="7" borderId="0" pivotButton="0" quotePrefix="0" xfId="0"/>
    <xf numFmtId="0" fontId="0" fillId="0" borderId="1" pivotButton="0" quotePrefix="0" xfId="0"/>
    <xf numFmtId="165" fontId="0" fillId="0" borderId="1" pivotButton="0" quotePrefix="0" xfId="0"/>
    <xf numFmtId="2" fontId="7" fillId="7" borderId="1" pivotButton="0" quotePrefix="0" xfId="0"/>
    <xf numFmtId="3" fontId="0" fillId="0" borderId="1" pivotButton="0" quotePrefix="0" xfId="0"/>
    <xf numFmtId="2" fontId="7" fillId="5" borderId="1" pivotButton="0" quotePrefix="0" xfId="0"/>
    <xf numFmtId="2" fontId="8" fillId="7" borderId="0" pivotButton="0" quotePrefix="0" xfId="0"/>
    <xf numFmtId="2" fontId="9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7" fillId="8" borderId="1" pivotButton="0" quotePrefix="0" xfId="0"/>
    <xf numFmtId="167" fontId="5" fillId="5" borderId="1" pivotButton="0" quotePrefix="0" xfId="0"/>
    <xf numFmtId="167" fontId="5" fillId="0" borderId="1" pivotButton="0" quotePrefix="0" xfId="0"/>
    <xf numFmtId="167" fontId="5" fillId="4" borderId="1" pivotButton="0" quotePrefix="0" xfId="0"/>
    <xf numFmtId="0" fontId="7" fillId="7" borderId="1" pivotButton="0" quotePrefix="0" xfId="0"/>
    <xf numFmtId="0" fontId="5" fillId="7" borderId="1" pivotButton="0" quotePrefix="0" xfId="0"/>
    <xf numFmtId="164" fontId="8" fillId="7" borderId="1" pivotButton="0" quotePrefix="0" xfId="0"/>
    <xf numFmtId="166" fontId="5" fillId="7" borderId="1" pivotButton="0" quotePrefix="0" xfId="0"/>
    <xf numFmtId="1" fontId="5" fillId="7" borderId="1" pivotButton="0" quotePrefix="0" xfId="0"/>
    <xf numFmtId="168" fontId="5" fillId="7" borderId="1" pivotButton="0" quotePrefix="0" xfId="0"/>
    <xf numFmtId="0" fontId="0" fillId="7" borderId="1" applyAlignment="1" pivotButton="0" quotePrefix="0" xfId="0">
      <alignment horizontal="left" vertical="center" wrapText="1"/>
    </xf>
    <xf numFmtId="166" fontId="5" fillId="0" borderId="1" pivotButton="0" quotePrefix="0" xfId="0"/>
    <xf numFmtId="1" fontId="5" fillId="0" borderId="1" pivotButton="0" quotePrefix="0" xfId="0"/>
    <xf numFmtId="168" fontId="5" fillId="0" borderId="1" pivotButton="0" quotePrefix="0" xfId="0"/>
    <xf numFmtId="166" fontId="8" fillId="0" borderId="0" pivotButton="0" quotePrefix="0" xfId="0"/>
    <xf numFmtId="0" fontId="7" fillId="0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166" fontId="5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3" fontId="5" fillId="7" borderId="1" applyAlignment="1" pivotButton="0" quotePrefix="0" xfId="0">
      <alignment horizontal="left" vertical="top" wrapText="1"/>
    </xf>
    <xf numFmtId="169" fontId="5" fillId="7" borderId="1" applyAlignment="1" pivotButton="0" quotePrefix="0" xfId="0">
      <alignment horizontal="left" vertical="top" wrapText="1"/>
    </xf>
    <xf numFmtId="164" fontId="5" fillId="7" borderId="1" applyAlignment="1" pivotButton="0" quotePrefix="0" xfId="0">
      <alignment horizontal="left" vertical="top" wrapText="1"/>
    </xf>
    <xf numFmtId="2" fontId="5" fillId="7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170" fontId="5" fillId="7" borderId="1" applyAlignment="1" pivotButton="0" quotePrefix="0" xfId="0">
      <alignment horizontal="left" vertical="top" wrapText="1"/>
    </xf>
    <xf numFmtId="0" fontId="2" fillId="8" borderId="0" pivotButton="0" quotePrefix="0" xfId="0"/>
    <xf numFmtId="2" fontId="5" fillId="0" borderId="1" pivotButton="0" quotePrefix="0" xfId="0"/>
    <xf numFmtId="0" fontId="6" fillId="0" borderId="1" pivotButton="0" quotePrefix="0" xfId="0"/>
    <xf numFmtId="2" fontId="8" fillId="0" borderId="0" pivotButton="0" quotePrefix="0" xfId="0"/>
    <xf numFmtId="166" fontId="5" fillId="0" borderId="0" pivotButton="0" quotePrefix="0" xfId="0"/>
    <xf numFmtId="166" fontId="7" fillId="4" borderId="0" pivotButton="0" quotePrefix="0" xfId="0"/>
    <xf numFmtId="166" fontId="7" fillId="5" borderId="0" pivotButton="0" quotePrefix="0" xfId="0"/>
    <xf numFmtId="0" fontId="2" fillId="7" borderId="0" pivotButton="0" quotePrefix="0" xfId="0"/>
    <xf numFmtId="166" fontId="7" fillId="7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32" customHeight="1">
      <c r="B2" s="1" t="inlineStr">
        <is>
          <t>THE PIRATE'S GROWTH STRATEGY — POWER BI COMMAND CENTER</t>
        </is>
      </c>
    </row>
    <row r="4">
      <c r="B4" s="2" t="inlineStr">
        <is>
          <t>Track 2 v4 — Scaling a Digital Ecosystem through Unit Economics</t>
        </is>
      </c>
    </row>
    <row r="6">
      <c r="B6" s="3" t="inlineStr">
        <is>
          <t>Project</t>
        </is>
      </c>
      <c r="C6" s="4" t="inlineStr">
        <is>
          <t>The Pirate Growth Strategy: Scaling a Digital Ecosystem through Unit Economics</t>
        </is>
      </c>
    </row>
    <row r="7">
      <c r="B7" s="3" t="inlineStr">
        <is>
          <t>Dataset</t>
        </is>
      </c>
      <c r="C7" s="4" t="inlineStr">
        <is>
          <t>UCI Online Retail II (1,067,371 raw → 805,549 clean rows; Dec 2009 → Dec 2011)</t>
        </is>
      </c>
    </row>
    <row r="8">
      <c r="B8" s="3" t="inlineStr">
        <is>
          <t>Hero method</t>
        </is>
      </c>
      <c r="C8" s="4" t="inlineStr">
        <is>
          <t>AARRR Pirate Metrics + LTV/CAC + Nash Equilibrium + Decision Tree EV</t>
        </is>
      </c>
    </row>
    <row r="9">
      <c r="B9" s="3" t="inlineStr">
        <is>
          <t>Hero finding</t>
        </is>
      </c>
      <c r="C9" s="4" t="inlineStr">
        <is>
          <t>Activation is the leak (23.6%, not Retention). Referral Loop EV = +£3.65M; Pricing EV = -£1.05M</t>
        </is>
      </c>
    </row>
    <row r="10">
      <c r="B10" s="3" t="inlineStr">
        <is>
          <t>Hero $ impact</t>
        </is>
      </c>
      <c r="C10" s="4" t="inlineStr">
        <is>
          <t>Choose Referral Loop over Dynamic Pricing → Δ EV = +£4.70M</t>
        </is>
      </c>
    </row>
    <row r="11">
      <c r="B11" s="3" t="inlineStr">
        <is>
          <t>Sheets</t>
        </is>
      </c>
      <c r="C11" s="4" t="inlineStr">
        <is>
          <t>Cover, Inputs, AARRR_Funnel, Cohort_Retention, MarketBasket, Nash_Payoff, RFM_STP, LTV_CAC_DAX, Decision_EV, Roadmap_MECE, Power_BI_Spec</t>
        </is>
      </c>
    </row>
    <row r="12">
      <c r="B12" s="3" t="inlineStr">
        <is>
          <t>Differentiation</t>
        </is>
      </c>
      <c r="C12" s="4" t="inlineStr">
        <is>
          <t>v1 IBM HR (workforce) / v2 Google Play (pricing) / v3 IBM Telco (product) / v4 Pirate (growth)</t>
        </is>
      </c>
    </row>
  </sheetData>
  <mergeCells count="9">
    <mergeCell ref="B2:G2"/>
    <mergeCell ref="C7:G7"/>
    <mergeCell ref="C12:G12"/>
    <mergeCell ref="C6:G6"/>
    <mergeCell ref="C10:G10"/>
    <mergeCell ref="C11:G11"/>
    <mergeCell ref="B4:G4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cols>
    <col width="38" customWidth="1" min="2" max="2"/>
    <col width="14" customWidth="1" min="3" max="3"/>
    <col width="22" customWidth="1" min="4" max="4"/>
  </cols>
  <sheetData>
    <row r="2" ht="28" customHeight="1">
      <c r="B2" s="1" t="inlineStr">
        <is>
          <t>CRITICAL ASSUMPTIONS (yellow = inputs)</t>
        </is>
      </c>
    </row>
    <row r="4">
      <c r="B4" s="5" t="inlineStr">
        <is>
          <t>Parameter</t>
        </is>
      </c>
      <c r="C4" s="5" t="inlineStr">
        <is>
          <t>Value</t>
        </is>
      </c>
      <c r="D4" s="5" t="inlineStr">
        <is>
          <t>Defined Name</t>
        </is>
      </c>
    </row>
    <row r="5">
      <c r="B5" t="inlineStr">
        <is>
          <t>Mean LTV (24mo observed, £)</t>
        </is>
      </c>
      <c r="C5" s="6" t="n">
        <v>3019</v>
      </c>
      <c r="D5" s="7" t="inlineStr">
        <is>
          <t>LTV_Mean</t>
        </is>
      </c>
    </row>
    <row r="6">
      <c r="B6" t="inlineStr">
        <is>
          <t>Median LTV (£)</t>
        </is>
      </c>
      <c r="C6" s="6" t="n">
        <v>899</v>
      </c>
      <c r="D6" s="7" t="inlineStr">
        <is>
          <t>LTV_Median</t>
        </is>
      </c>
    </row>
    <row r="7">
      <c r="B7" t="inlineStr">
        <is>
          <t>CAC proxy (£, industry benchmark)</t>
        </is>
      </c>
      <c r="C7" s="6" t="n">
        <v>15</v>
      </c>
      <c r="D7" s="7" t="inlineStr">
        <is>
          <t>CAC</t>
        </is>
      </c>
    </row>
    <row r="8">
      <c r="B8" t="inlineStr">
        <is>
          <t>Mean AOV (£)</t>
        </is>
      </c>
      <c r="C8" s="6" t="n">
        <v>391.73</v>
      </c>
      <c r="D8" s="7" t="inlineStr">
        <is>
          <t>AOV</t>
        </is>
      </c>
    </row>
    <row r="9">
      <c r="B9" t="inlineStr">
        <is>
          <t>Mean orders/customer</t>
        </is>
      </c>
      <c r="C9" s="6" t="n">
        <v>6.29</v>
      </c>
      <c r="D9" s="7" t="inlineStr">
        <is>
          <t>OrdersPerCust</t>
        </is>
      </c>
    </row>
    <row r="10">
      <c r="B10" t="inlineStr">
        <is>
          <t>Total customers (identified)</t>
        </is>
      </c>
      <c r="C10" s="6" t="n">
        <v>5878</v>
      </c>
      <c r="D10" s="7" t="inlineStr">
        <is>
          <t>TotalCustomers</t>
        </is>
      </c>
    </row>
    <row r="11">
      <c r="B11" t="inlineStr">
        <is>
          <t>Total clean revenue (£)</t>
        </is>
      </c>
      <c r="C11" s="6" t="n">
        <v>17743430</v>
      </c>
      <c r="D11" s="7" t="inlineStr">
        <is>
          <t>TotalRevenue</t>
        </is>
      </c>
    </row>
    <row r="12">
      <c r="B12" t="inlineStr">
        <is>
          <t>Activation rate ≤30d</t>
        </is>
      </c>
      <c r="C12" s="8" t="n">
        <v>0.236</v>
      </c>
      <c r="D12" s="7" t="inlineStr">
        <is>
          <t>ActivationRate</t>
        </is>
      </c>
    </row>
    <row r="13">
      <c r="B13" t="inlineStr">
        <is>
          <t>Cohort M+1 retention (avg)</t>
        </is>
      </c>
      <c r="C13" s="8" t="n">
        <v>0.212</v>
      </c>
      <c r="D13" s="7" t="inlineStr">
        <is>
          <t>Retention_M1</t>
        </is>
      </c>
    </row>
    <row r="14">
      <c r="B14" t="inlineStr">
        <is>
          <t>Cohort M+12 retention (avg)</t>
        </is>
      </c>
      <c r="C14" s="8" t="n">
        <v>0.182</v>
      </c>
      <c r="D14" s="7" t="inlineStr">
        <is>
          <t>Retention_M12</t>
        </is>
      </c>
    </row>
    <row r="15">
      <c r="B15" t="inlineStr">
        <is>
          <t>Own-price elasticity</t>
        </is>
      </c>
      <c r="C15" s="9" t="n">
        <v>-1.4</v>
      </c>
      <c r="D15" s="7" t="inlineStr">
        <is>
          <t>Elast_Own</t>
        </is>
      </c>
    </row>
    <row r="16">
      <c r="B16" t="inlineStr">
        <is>
          <t>Cross-price elasticity</t>
        </is>
      </c>
      <c r="C16" s="9" t="n">
        <v>0.6</v>
      </c>
      <c r="D16" s="7" t="inlineStr">
        <is>
          <t>Elast_Cross</t>
        </is>
      </c>
    </row>
    <row r="17">
      <c r="B17" t="inlineStr">
        <is>
          <t>Baseline market size (£)</t>
        </is>
      </c>
      <c r="C17" s="6" t="n">
        <v>7000000</v>
      </c>
      <c r="D17" s="7" t="inlineStr">
        <is>
          <t>MarketSize</t>
        </is>
      </c>
    </row>
    <row r="18">
      <c r="B18" t="inlineStr">
        <is>
          <t>Baseline share us (%)</t>
        </is>
      </c>
      <c r="C18" s="8" t="n">
        <v>0.6</v>
      </c>
      <c r="D18" s="7" t="inlineStr">
        <is>
          <t>Share_Us</t>
        </is>
      </c>
    </row>
    <row r="19">
      <c r="B19" t="inlineStr">
        <is>
          <t>k-factor (referral, modeled)</t>
        </is>
      </c>
      <c r="C19" s="8" t="n">
        <v>0.2</v>
      </c>
      <c r="D19" s="7" t="inlineStr">
        <is>
          <t>KFactor_Med</t>
        </is>
      </c>
    </row>
    <row r="20">
      <c r="B20" t="inlineStr">
        <is>
          <t>Pricing impl cost (£)</t>
        </is>
      </c>
      <c r="C20" s="6" t="n">
        <v>150000</v>
      </c>
      <c r="D20" s="7" t="inlineStr">
        <is>
          <t>CostPricing</t>
        </is>
      </c>
    </row>
    <row r="21">
      <c r="B21" t="inlineStr">
        <is>
          <t>Referral impl cost (£)</t>
        </is>
      </c>
      <c r="C21" s="6" t="n">
        <v>100000</v>
      </c>
      <c r="D21" s="7" t="inlineStr">
        <is>
          <t>CostReferral</t>
        </is>
      </c>
    </row>
    <row r="22">
      <c r="B22" t="inlineStr">
        <is>
          <t>Discount rate (annual)</t>
        </is>
      </c>
      <c r="C22" s="8" t="n">
        <v>0.1</v>
      </c>
      <c r="D22" s="7" t="inlineStr">
        <is>
          <t>DiscountRate</t>
        </is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cols>
    <col width="13" customWidth="1" min="2" max="2"/>
    <col width="36" customWidth="1" min="3" max="3"/>
    <col width="12" customWidth="1" min="4" max="4"/>
    <col width="11" customWidth="1" min="5" max="5"/>
    <col width="11" customWidth="1" min="6" max="6"/>
    <col width="12" customWidth="1" min="7" max="7"/>
  </cols>
  <sheetData>
    <row r="2" ht="28" customHeight="1">
      <c r="B2" s="1" t="inlineStr">
        <is>
          <t>AARRR PIRATE METRICS FUNNEL</t>
        </is>
      </c>
    </row>
    <row r="4">
      <c r="B4" s="7" t="inlineStr">
        <is>
          <t>Five stages: Acquisition → Activation → Retention → Referral → Revenue</t>
        </is>
      </c>
    </row>
    <row r="6">
      <c r="B6" s="5" t="inlineStr">
        <is>
          <t>Stage</t>
        </is>
      </c>
      <c r="C6" s="5" t="inlineStr">
        <is>
          <t>Definition</t>
        </is>
      </c>
      <c r="D6" s="5" t="inlineStr">
        <is>
          <t>Customers</t>
        </is>
      </c>
      <c r="E6" s="5" t="inlineStr">
        <is>
          <t>% of Top</t>
        </is>
      </c>
      <c r="F6" s="5" t="inlineStr">
        <is>
          <t>% of Prev</t>
        </is>
      </c>
      <c r="G6" s="5" t="inlineStr">
        <is>
          <t>Drop-off</t>
        </is>
      </c>
    </row>
    <row r="7">
      <c r="B7" s="10" t="inlineStr">
        <is>
          <t>Acquisition</t>
        </is>
      </c>
      <c r="C7" s="11" t="inlineStr">
        <is>
          <t>Made 1st purchase (signed up)</t>
        </is>
      </c>
      <c r="D7" s="12" t="n">
        <v>5878</v>
      </c>
      <c r="E7" s="13">
        <f>D7/$D$7</f>
        <v/>
      </c>
      <c r="F7" s="14" t="inlineStr">
        <is>
          <t>—</t>
        </is>
      </c>
      <c r="G7" s="14" t="inlineStr">
        <is>
          <t>—</t>
        </is>
      </c>
    </row>
    <row r="8">
      <c r="B8" s="10" t="inlineStr">
        <is>
          <t>Activation</t>
        </is>
      </c>
      <c r="C8" s="11" t="inlineStr">
        <is>
          <t>2nd purchase within 30 days</t>
        </is>
      </c>
      <c r="D8" s="12" t="n">
        <v>1388</v>
      </c>
      <c r="E8" s="13">
        <f>D8/$D$7</f>
        <v/>
      </c>
      <c r="F8" s="13">
        <f>D8/D7</f>
        <v/>
      </c>
      <c r="G8" s="15">
        <f>D7-D8</f>
        <v/>
      </c>
    </row>
    <row r="9">
      <c r="B9" s="10" t="inlineStr">
        <is>
          <t>Retention</t>
        </is>
      </c>
      <c r="C9" s="11" t="inlineStr">
        <is>
          <t>Active in M+12 (still purchasing)</t>
        </is>
      </c>
      <c r="D9" s="12" t="n">
        <v>1071</v>
      </c>
      <c r="E9" s="13">
        <f>D9/$D$7</f>
        <v/>
      </c>
      <c r="F9" s="13">
        <f>D9/D8</f>
        <v/>
      </c>
      <c r="G9" s="16">
        <f>D8-D9</f>
        <v/>
      </c>
    </row>
    <row r="10">
      <c r="B10" s="10" t="inlineStr">
        <is>
          <t>Referral</t>
        </is>
      </c>
      <c r="C10" s="11" t="inlineStr">
        <is>
          <t>Buys via international word-of-mouth</t>
        </is>
      </c>
      <c r="D10" s="12" t="n">
        <v>529</v>
      </c>
      <c r="E10" s="13">
        <f>D10/$D$7</f>
        <v/>
      </c>
      <c r="F10" s="13">
        <f>D10/D9</f>
        <v/>
      </c>
      <c r="G10" s="16">
        <f>D9-D10</f>
        <v/>
      </c>
    </row>
    <row r="11">
      <c r="B11" s="10" t="inlineStr">
        <is>
          <t>Revenue</t>
        </is>
      </c>
      <c r="C11" s="11" t="inlineStr">
        <is>
          <t>Champion-tier (RFM 444)</t>
        </is>
      </c>
      <c r="D11" s="12" t="n">
        <v>1814</v>
      </c>
      <c r="E11" s="13">
        <f>D11/$D$7</f>
        <v/>
      </c>
      <c r="F11" s="13">
        <f>D11/D10</f>
        <v/>
      </c>
      <c r="G11" s="16">
        <f>D10-D11</f>
        <v/>
      </c>
    </row>
    <row r="13">
      <c r="B13" s="2" t="inlineStr">
        <is>
          <t>INSIGHT: The biggest drop-off is Activation, not Retention.</t>
        </is>
      </c>
    </row>
    <row r="14">
      <c r="B14" s="7" t="inlineStr">
        <is>
          <t>Of 5,878 acquired, only 1,388 (23.6%) make a 2nd purchase within 30 days.</t>
        </is>
      </c>
    </row>
    <row r="15">
      <c r="B15" s="7" t="inlineStr">
        <is>
          <t>This is THE leak to plug. Referral Loop attacks this directly via inviter incentives.</t>
        </is>
      </c>
    </row>
  </sheetData>
  <mergeCells count="5">
    <mergeCell ref="B2:G2"/>
    <mergeCell ref="B14:G14"/>
    <mergeCell ref="B4:G4"/>
    <mergeCell ref="B13:G13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21"/>
  <sheetViews>
    <sheetView workbookViewId="0">
      <selection activeCell="A1" sqref="A1"/>
    </sheetView>
  </sheetViews>
  <sheetFormatPr baseColWidth="8" defaultRowHeight="15"/>
  <cols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2" ht="28" customHeight="1">
      <c r="B2" s="1" t="inlineStr">
        <is>
          <t>COHORT RETENTION HEATMAP (% of cohort still active in M+N)</t>
        </is>
      </c>
    </row>
    <row r="4">
      <c r="B4" s="17" t="inlineStr">
        <is>
          <t>Cohort</t>
        </is>
      </c>
      <c r="C4" s="17" t="inlineStr">
        <is>
          <t>Size</t>
        </is>
      </c>
      <c r="D4" s="5" t="inlineStr">
        <is>
          <t>M+0</t>
        </is>
      </c>
      <c r="E4" s="5" t="inlineStr">
        <is>
          <t>M+1</t>
        </is>
      </c>
      <c r="F4" s="5" t="inlineStr">
        <is>
          <t>M+2</t>
        </is>
      </c>
      <c r="G4" s="5" t="inlineStr">
        <is>
          <t>M+3</t>
        </is>
      </c>
      <c r="H4" s="5" t="inlineStr">
        <is>
          <t>M+4</t>
        </is>
      </c>
      <c r="I4" s="5" t="inlineStr">
        <is>
          <t>M+5</t>
        </is>
      </c>
      <c r="J4" s="5" t="inlineStr">
        <is>
          <t>M+6</t>
        </is>
      </c>
      <c r="K4" s="5" t="inlineStr">
        <is>
          <t>M+7</t>
        </is>
      </c>
      <c r="L4" s="5" t="inlineStr">
        <is>
          <t>M+8</t>
        </is>
      </c>
      <c r="M4" s="5" t="inlineStr">
        <is>
          <t>M+9</t>
        </is>
      </c>
      <c r="N4" s="5" t="inlineStr">
        <is>
          <t>M+10</t>
        </is>
      </c>
      <c r="O4" s="5" t="inlineStr">
        <is>
          <t>M+11</t>
        </is>
      </c>
      <c r="P4" s="5" t="inlineStr">
        <is>
          <t>M+12</t>
        </is>
      </c>
    </row>
    <row r="5">
      <c r="B5" t="inlineStr">
        <is>
          <t>2009-12</t>
        </is>
      </c>
      <c r="C5" s="18" t="n">
        <v>955</v>
      </c>
      <c r="D5" s="19" t="n">
        <v>1</v>
      </c>
      <c r="E5" s="19" t="n">
        <v>0.353</v>
      </c>
      <c r="F5" s="19" t="n">
        <v>0.325</v>
      </c>
      <c r="G5" s="19" t="n">
        <v>0.425</v>
      </c>
      <c r="H5" s="19" t="n">
        <v>0.387</v>
      </c>
      <c r="I5" s="19" t="n">
        <v>0.392</v>
      </c>
      <c r="J5" s="19" t="n">
        <v>0.377</v>
      </c>
      <c r="K5" s="19" t="n">
        <v>0.361</v>
      </c>
      <c r="L5" s="19" t="n">
        <v>0.355</v>
      </c>
      <c r="M5" s="19" t="n">
        <v>0.368</v>
      </c>
      <c r="N5" s="19" t="n">
        <v>0.359</v>
      </c>
      <c r="O5" s="19" t="n">
        <v>0.365</v>
      </c>
      <c r="P5" s="19" t="n">
        <v>0.376</v>
      </c>
    </row>
    <row r="6">
      <c r="B6" t="inlineStr">
        <is>
          <t>2010-01</t>
        </is>
      </c>
      <c r="C6" s="18" t="n">
        <v>383</v>
      </c>
      <c r="D6" s="19" t="n">
        <v>1</v>
      </c>
      <c r="E6" s="20" t="n">
        <v>0.225</v>
      </c>
      <c r="F6" s="20" t="n">
        <v>0.201</v>
      </c>
      <c r="G6" s="20" t="n">
        <v>0.285</v>
      </c>
      <c r="H6" s="20" t="n">
        <v>0.258</v>
      </c>
      <c r="I6" s="20" t="n">
        <v>0.265</v>
      </c>
      <c r="J6" s="20" t="n">
        <v>0.245</v>
      </c>
      <c r="K6" s="20" t="n">
        <v>0.238</v>
      </c>
      <c r="L6" s="20" t="n">
        <v>0.229</v>
      </c>
      <c r="M6" s="20" t="n">
        <v>0.245</v>
      </c>
      <c r="N6" s="20" t="n">
        <v>0.236</v>
      </c>
      <c r="O6" s="20" t="n">
        <v>0.242</v>
      </c>
      <c r="P6" s="20" t="n">
        <v>0.256</v>
      </c>
    </row>
    <row r="7">
      <c r="B7" t="inlineStr">
        <is>
          <t>2010-02</t>
        </is>
      </c>
      <c r="C7" s="18" t="n">
        <v>374</v>
      </c>
      <c r="D7" s="19" t="n">
        <v>1</v>
      </c>
      <c r="E7" s="20" t="n">
        <v>0.203</v>
      </c>
      <c r="F7" s="21" t="n">
        <v>0.185</v>
      </c>
      <c r="G7" s="20" t="n">
        <v>0.265</v>
      </c>
      <c r="H7" s="20" t="n">
        <v>0.24</v>
      </c>
      <c r="I7" s="20" t="n">
        <v>0.25</v>
      </c>
      <c r="J7" s="20" t="n">
        <v>0.228</v>
      </c>
      <c r="K7" s="20" t="n">
        <v>0.22</v>
      </c>
      <c r="L7" s="20" t="n">
        <v>0.215</v>
      </c>
      <c r="M7" s="20" t="n">
        <v>0.228</v>
      </c>
      <c r="N7" s="20" t="n">
        <v>0.219</v>
      </c>
      <c r="O7" s="20" t="n">
        <v>0.225</v>
      </c>
      <c r="P7" s="20" t="n">
        <v>0.234</v>
      </c>
    </row>
    <row r="8">
      <c r="B8" t="inlineStr">
        <is>
          <t>2010-03</t>
        </is>
      </c>
      <c r="C8" s="18" t="n">
        <v>443</v>
      </c>
      <c r="D8" s="19" t="n">
        <v>1</v>
      </c>
      <c r="E8" s="20" t="n">
        <v>0.21</v>
      </c>
      <c r="F8" s="21" t="n">
        <v>0.192</v>
      </c>
      <c r="G8" s="20" t="n">
        <v>0.275</v>
      </c>
      <c r="H8" s="20" t="n">
        <v>0.248</v>
      </c>
      <c r="I8" s="20" t="n">
        <v>0.256</v>
      </c>
      <c r="J8" s="20" t="n">
        <v>0.234</v>
      </c>
      <c r="K8" s="20" t="n">
        <v>0.226</v>
      </c>
      <c r="L8" s="20" t="n">
        <v>0.218</v>
      </c>
      <c r="M8" s="20" t="n">
        <v>0.233</v>
      </c>
      <c r="N8" s="20" t="n">
        <v>0.224</v>
      </c>
      <c r="O8" s="20" t="n">
        <v>0.229</v>
      </c>
      <c r="P8" s="20" t="n">
        <v>0.242</v>
      </c>
    </row>
    <row r="9">
      <c r="B9" t="inlineStr">
        <is>
          <t>2010-04</t>
        </is>
      </c>
      <c r="C9" s="18" t="n">
        <v>294</v>
      </c>
      <c r="D9" s="19" t="n">
        <v>1</v>
      </c>
      <c r="E9" s="21" t="n">
        <v>0.185</v>
      </c>
      <c r="F9" s="21" t="n">
        <v>0.168</v>
      </c>
      <c r="G9" s="20" t="n">
        <v>0.24</v>
      </c>
      <c r="H9" s="20" t="n">
        <v>0.215</v>
      </c>
      <c r="I9" s="20" t="n">
        <v>0.224</v>
      </c>
      <c r="J9" s="20" t="n">
        <v>0.205</v>
      </c>
      <c r="K9" s="21" t="n">
        <v>0.198</v>
      </c>
      <c r="L9" s="21" t="n">
        <v>0.19</v>
      </c>
      <c r="M9" s="20" t="n">
        <v>0.205</v>
      </c>
      <c r="N9" s="21" t="n">
        <v>0.195</v>
      </c>
      <c r="O9" s="20" t="n">
        <v>0.2</v>
      </c>
      <c r="P9" s="20" t="n">
        <v>0.215</v>
      </c>
    </row>
    <row r="10">
      <c r="B10" t="inlineStr">
        <is>
          <t>2010-05</t>
        </is>
      </c>
      <c r="C10" s="18" t="n">
        <v>254</v>
      </c>
      <c r="D10" s="19" t="n">
        <v>1</v>
      </c>
      <c r="E10" s="21" t="n">
        <v>0.17</v>
      </c>
      <c r="F10" s="21" t="n">
        <v>0.155</v>
      </c>
      <c r="G10" s="20" t="n">
        <v>0.225</v>
      </c>
      <c r="H10" s="20" t="n">
        <v>0.2</v>
      </c>
      <c r="I10" s="20" t="n">
        <v>0.21</v>
      </c>
      <c r="J10" s="21" t="n">
        <v>0.19</v>
      </c>
      <c r="K10" s="21" t="n">
        <v>0.183</v>
      </c>
      <c r="L10" s="21" t="n">
        <v>0.175</v>
      </c>
      <c r="M10" s="21" t="n">
        <v>0.19</v>
      </c>
      <c r="N10" s="21" t="n">
        <v>0.18</v>
      </c>
      <c r="O10" s="21" t="n">
        <v>0.185</v>
      </c>
      <c r="P10" s="22" t="inlineStr">
        <is>
          <t>—</t>
        </is>
      </c>
    </row>
    <row r="11">
      <c r="B11" t="inlineStr">
        <is>
          <t>2010-06</t>
        </is>
      </c>
      <c r="C11" s="18" t="n">
        <v>270</v>
      </c>
      <c r="D11" s="19" t="n">
        <v>1</v>
      </c>
      <c r="E11" s="21" t="n">
        <v>0.165</v>
      </c>
      <c r="F11" s="21" t="n">
        <v>0.15</v>
      </c>
      <c r="G11" s="20" t="n">
        <v>0.22</v>
      </c>
      <c r="H11" s="21" t="n">
        <v>0.195</v>
      </c>
      <c r="I11" s="20" t="n">
        <v>0.205</v>
      </c>
      <c r="J11" s="21" t="n">
        <v>0.185</v>
      </c>
      <c r="K11" s="21" t="n">
        <v>0.178</v>
      </c>
      <c r="L11" s="21" t="n">
        <v>0.17</v>
      </c>
      <c r="M11" s="21" t="n">
        <v>0.185</v>
      </c>
      <c r="N11" s="21" t="n">
        <v>0.175</v>
      </c>
      <c r="O11" s="22" t="inlineStr">
        <is>
          <t>—</t>
        </is>
      </c>
      <c r="P11" s="22" t="inlineStr">
        <is>
          <t>—</t>
        </is>
      </c>
    </row>
    <row r="12">
      <c r="B12" t="inlineStr">
        <is>
          <t>2010-07</t>
        </is>
      </c>
      <c r="C12" s="18" t="n">
        <v>186</v>
      </c>
      <c r="D12" s="19" t="n">
        <v>1</v>
      </c>
      <c r="E12" s="21" t="n">
        <v>0.14</v>
      </c>
      <c r="F12" s="21" t="n">
        <v>0.125</v>
      </c>
      <c r="G12" s="21" t="n">
        <v>0.19</v>
      </c>
      <c r="H12" s="21" t="n">
        <v>0.165</v>
      </c>
      <c r="I12" s="21" t="n">
        <v>0.175</v>
      </c>
      <c r="J12" s="21" t="n">
        <v>0.155</v>
      </c>
      <c r="K12" s="21" t="n">
        <v>0.148</v>
      </c>
      <c r="L12" s="21" t="n">
        <v>0.14</v>
      </c>
      <c r="M12" s="21" t="n">
        <v>0.155</v>
      </c>
      <c r="N12" s="22" t="inlineStr">
        <is>
          <t>—</t>
        </is>
      </c>
      <c r="O12" s="22" t="inlineStr">
        <is>
          <t>—</t>
        </is>
      </c>
      <c r="P12" s="22" t="inlineStr">
        <is>
          <t>—</t>
        </is>
      </c>
    </row>
    <row r="13">
      <c r="B13" t="inlineStr">
        <is>
          <t>2010-08</t>
        </is>
      </c>
      <c r="C13" s="18" t="n">
        <v>162</v>
      </c>
      <c r="D13" s="19" t="n">
        <v>1</v>
      </c>
      <c r="E13" s="21" t="n">
        <v>0.125</v>
      </c>
      <c r="F13" s="21" t="n">
        <v>0.11</v>
      </c>
      <c r="G13" s="21" t="n">
        <v>0.175</v>
      </c>
      <c r="H13" s="21" t="n">
        <v>0.15</v>
      </c>
      <c r="I13" s="21" t="n">
        <v>0.16</v>
      </c>
      <c r="J13" s="21" t="n">
        <v>0.14</v>
      </c>
      <c r="K13" s="21" t="n">
        <v>0.133</v>
      </c>
      <c r="L13" s="21" t="n">
        <v>0.125</v>
      </c>
      <c r="M13" s="22" t="inlineStr">
        <is>
          <t>—</t>
        </is>
      </c>
      <c r="N13" s="22" t="inlineStr">
        <is>
          <t>—</t>
        </is>
      </c>
      <c r="O13" s="22" t="inlineStr">
        <is>
          <t>—</t>
        </is>
      </c>
      <c r="P13" s="22" t="inlineStr">
        <is>
          <t>—</t>
        </is>
      </c>
    </row>
    <row r="14">
      <c r="B14" t="inlineStr">
        <is>
          <t>2010-09</t>
        </is>
      </c>
      <c r="C14" s="18" t="n">
        <v>243</v>
      </c>
      <c r="D14" s="19" t="n">
        <v>1</v>
      </c>
      <c r="E14" s="21" t="n">
        <v>0.155</v>
      </c>
      <c r="F14" s="21" t="n">
        <v>0.14</v>
      </c>
      <c r="G14" s="20" t="n">
        <v>0.21</v>
      </c>
      <c r="H14" s="21" t="n">
        <v>0.185</v>
      </c>
      <c r="I14" s="21" t="n">
        <v>0.195</v>
      </c>
      <c r="J14" s="21" t="n">
        <v>0.175</v>
      </c>
      <c r="K14" s="21" t="n">
        <v>0.168</v>
      </c>
      <c r="L14" s="22" t="inlineStr">
        <is>
          <t>—</t>
        </is>
      </c>
      <c r="M14" s="22" t="inlineStr">
        <is>
          <t>—</t>
        </is>
      </c>
      <c r="N14" s="22" t="inlineStr">
        <is>
          <t>—</t>
        </is>
      </c>
      <c r="O14" s="22" t="inlineStr">
        <is>
          <t>—</t>
        </is>
      </c>
      <c r="P14" s="22" t="inlineStr">
        <is>
          <t>—</t>
        </is>
      </c>
    </row>
    <row r="15">
      <c r="B15" t="inlineStr">
        <is>
          <t>2010-10</t>
        </is>
      </c>
      <c r="C15" s="18" t="n">
        <v>377</v>
      </c>
      <c r="D15" s="19" t="n">
        <v>1</v>
      </c>
      <c r="E15" s="21" t="n">
        <v>0.18</v>
      </c>
      <c r="F15" s="21" t="n">
        <v>0.165</v>
      </c>
      <c r="G15" s="20" t="n">
        <v>0.235</v>
      </c>
      <c r="H15" s="20" t="n">
        <v>0.21</v>
      </c>
      <c r="I15" s="20" t="n">
        <v>0.22</v>
      </c>
      <c r="J15" s="20" t="n">
        <v>0.2</v>
      </c>
      <c r="K15" s="22" t="inlineStr">
        <is>
          <t>—</t>
        </is>
      </c>
      <c r="L15" s="22" t="inlineStr">
        <is>
          <t>—</t>
        </is>
      </c>
      <c r="M15" s="22" t="inlineStr">
        <is>
          <t>—</t>
        </is>
      </c>
      <c r="N15" s="22" t="inlineStr">
        <is>
          <t>—</t>
        </is>
      </c>
      <c r="O15" s="22" t="inlineStr">
        <is>
          <t>—</t>
        </is>
      </c>
      <c r="P15" s="22" t="inlineStr">
        <is>
          <t>—</t>
        </is>
      </c>
    </row>
    <row r="16">
      <c r="B16" t="inlineStr">
        <is>
          <t>2010-11</t>
        </is>
      </c>
      <c r="C16" s="18" t="n">
        <v>325</v>
      </c>
      <c r="D16" s="19" t="n">
        <v>1</v>
      </c>
      <c r="E16" s="21" t="n">
        <v>0.175</v>
      </c>
      <c r="F16" s="21" t="n">
        <v>0.16</v>
      </c>
      <c r="G16" s="20" t="n">
        <v>0.23</v>
      </c>
      <c r="H16" s="20" t="n">
        <v>0.205</v>
      </c>
      <c r="I16" s="20" t="n">
        <v>0.215</v>
      </c>
      <c r="J16" s="22" t="inlineStr">
        <is>
          <t>—</t>
        </is>
      </c>
      <c r="K16" s="22" t="inlineStr">
        <is>
          <t>—</t>
        </is>
      </c>
      <c r="L16" s="22" t="inlineStr">
        <is>
          <t>—</t>
        </is>
      </c>
      <c r="M16" s="22" t="inlineStr">
        <is>
          <t>—</t>
        </is>
      </c>
      <c r="N16" s="22" t="inlineStr">
        <is>
          <t>—</t>
        </is>
      </c>
      <c r="O16" s="22" t="inlineStr">
        <is>
          <t>—</t>
        </is>
      </c>
      <c r="P16" s="22" t="inlineStr">
        <is>
          <t>—</t>
        </is>
      </c>
    </row>
    <row r="17">
      <c r="B17" s="23" t="inlineStr">
        <is>
          <t>AVG</t>
        </is>
      </c>
      <c r="C17" s="24">
        <f>SUM(C5:C16)</f>
        <v/>
      </c>
      <c r="D17" s="25">
        <f>AVERAGE(D5:D16)</f>
        <v/>
      </c>
      <c r="E17" s="25">
        <f>AVERAGE(E5:E16)</f>
        <v/>
      </c>
      <c r="F17" s="25">
        <f>AVERAGE(F5:F16)</f>
        <v/>
      </c>
      <c r="G17" s="25">
        <f>AVERAGE(G5:G16)</f>
        <v/>
      </c>
      <c r="H17" s="25">
        <f>AVERAGE(H5:H16)</f>
        <v/>
      </c>
      <c r="I17" s="25">
        <f>AVERAGE(I5:I16)</f>
        <v/>
      </c>
      <c r="J17" s="25">
        <f>AVERAGE(J5:J16)</f>
        <v/>
      </c>
      <c r="K17" s="25">
        <f>AVERAGE(K5:K16)</f>
        <v/>
      </c>
      <c r="L17" s="25">
        <f>AVERAGE(L5:L16)</f>
        <v/>
      </c>
      <c r="M17" s="25">
        <f>AVERAGE(M5:M16)</f>
        <v/>
      </c>
      <c r="N17" s="25">
        <f>AVERAGE(N5:N16)</f>
        <v/>
      </c>
      <c r="O17" s="25">
        <f>AVERAGE(O5:O16)</f>
        <v/>
      </c>
      <c r="P17" s="25">
        <f>AVERAGE(P5:P16)</f>
        <v/>
      </c>
    </row>
    <row r="19">
      <c r="B19" s="2" t="inlineStr">
        <is>
          <t>Hero numbers from full 25-cohort analysis (notebook):</t>
        </is>
      </c>
    </row>
    <row r="20">
      <c r="B20" s="7" t="inlineStr">
        <is>
          <t xml:space="preserve">  Average M+1 retention: 21.2%   |   Average M+12 retention: 18.2%</t>
        </is>
      </c>
    </row>
    <row r="21">
      <c r="B21" s="7" t="inlineStr">
        <is>
          <t xml:space="preserve">  First cohort (Dec 2009) ages well: M+1=35.3% → M+24=19.7%</t>
        </is>
      </c>
    </row>
  </sheetData>
  <mergeCells count="4">
    <mergeCell ref="B21:H21"/>
    <mergeCell ref="B19:H19"/>
    <mergeCell ref="B20:H20"/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5"/>
  <sheetViews>
    <sheetView workbookViewId="0">
      <selection activeCell="A1" sqref="A1"/>
    </sheetView>
  </sheetViews>
  <sheetFormatPr baseColWidth="8" defaultRowHeight="15"/>
  <cols>
    <col width="6" customWidth="1" min="2" max="2"/>
    <col width="10" customWidth="1" min="3" max="3"/>
    <col width="26" customWidth="1" min="4" max="4"/>
    <col width="10" customWidth="1" min="5" max="5"/>
    <col width="26" customWidth="1" min="6" max="6"/>
    <col width="9" customWidth="1" min="7" max="7"/>
    <col width="10" customWidth="1" min="8" max="8"/>
    <col width="8" customWidth="1" min="9" max="9"/>
    <col width="9" customWidth="1" min="10" max="10"/>
  </cols>
  <sheetData>
    <row r="2" ht="28" customHeight="1">
      <c r="B2" s="1" t="inlineStr">
        <is>
          <t>MARKET BASKET ANALYSIS — TOP CROSS-SELL RULES</t>
        </is>
      </c>
    </row>
    <row r="4">
      <c r="B4" s="7" t="inlineStr">
        <is>
          <t>Lift &gt; 3 = strong association | Confidence &gt; 30% = actionable | 19,347 multi-item baskets analyzed</t>
        </is>
      </c>
    </row>
    <row r="6">
      <c r="B6" s="5" t="inlineStr">
        <is>
          <t>Rank</t>
        </is>
      </c>
      <c r="C6" s="5" t="inlineStr">
        <is>
          <t>Product A</t>
        </is>
      </c>
      <c r="D6" s="5" t="inlineStr">
        <is>
          <t>Product A desc</t>
        </is>
      </c>
      <c r="E6" s="5" t="inlineStr">
        <is>
          <t>Product B</t>
        </is>
      </c>
      <c r="F6" s="5" t="inlineStr">
        <is>
          <t>Product B desc</t>
        </is>
      </c>
      <c r="G6" s="5" t="inlineStr">
        <is>
          <t>Support</t>
        </is>
      </c>
      <c r="H6" s="5" t="inlineStr">
        <is>
          <t>Confidence</t>
        </is>
      </c>
      <c r="I6" s="5" t="inlineStr">
        <is>
          <t>Lift</t>
        </is>
      </c>
      <c r="J6" s="5" t="inlineStr">
        <is>
          <t>Co-occur</t>
        </is>
      </c>
    </row>
    <row r="7">
      <c r="B7" s="26" t="n">
        <v>1</v>
      </c>
      <c r="C7" s="26" t="inlineStr">
        <is>
          <t>22112</t>
        </is>
      </c>
      <c r="D7" s="26" t="inlineStr">
        <is>
          <t>CHOCOLATE HOT WATER BOTTLE</t>
        </is>
      </c>
      <c r="E7" s="26" t="inlineStr">
        <is>
          <t>22114</t>
        </is>
      </c>
      <c r="F7" s="26" t="inlineStr">
        <is>
          <t>HOT WATER BOTTLE TEA AND</t>
        </is>
      </c>
      <c r="G7" s="27" t="n">
        <v>0.032</v>
      </c>
      <c r="H7" s="27" t="n">
        <v>0.459</v>
      </c>
      <c r="I7" s="28" t="n">
        <v>7.4</v>
      </c>
      <c r="J7" s="29" t="n">
        <v>620</v>
      </c>
    </row>
    <row r="8">
      <c r="B8" s="26" t="n">
        <v>2</v>
      </c>
      <c r="C8" s="26" t="inlineStr">
        <is>
          <t>82482</t>
        </is>
      </c>
      <c r="D8" s="26" t="inlineStr">
        <is>
          <t>WOODEN PICTURE FRAME WHITE</t>
        </is>
      </c>
      <c r="E8" s="26" t="inlineStr">
        <is>
          <t>82494L</t>
        </is>
      </c>
      <c r="F8" s="26" t="inlineStr">
        <is>
          <t>WOODEN FRAME ANTIQUE WHIT</t>
        </is>
      </c>
      <c r="G8" s="27" t="n">
        <v>0.0513</v>
      </c>
      <c r="H8" s="27" t="n">
        <v>0.622</v>
      </c>
      <c r="I8" s="28" t="n">
        <v>7.14</v>
      </c>
      <c r="J8" s="29" t="n">
        <v>993</v>
      </c>
    </row>
    <row r="9">
      <c r="B9" s="26" t="n">
        <v>3</v>
      </c>
      <c r="C9" s="26" t="inlineStr">
        <is>
          <t>21754</t>
        </is>
      </c>
      <c r="D9" s="26" t="inlineStr">
        <is>
          <t>HOME BUILDING BLOCK WORD</t>
        </is>
      </c>
      <c r="E9" s="26" t="inlineStr">
        <is>
          <t>21755</t>
        </is>
      </c>
      <c r="F9" s="26" t="inlineStr">
        <is>
          <t>LOVE BUILDING BLOCK WORD</t>
        </is>
      </c>
      <c r="G9" s="27" t="n">
        <v>0.0406</v>
      </c>
      <c r="H9" s="27" t="n">
        <v>0.451</v>
      </c>
      <c r="I9" s="28" t="n">
        <v>6.14</v>
      </c>
      <c r="J9" s="29" t="n">
        <v>786</v>
      </c>
    </row>
    <row r="10">
      <c r="B10" s="26" t="n">
        <v>4</v>
      </c>
      <c r="C10" s="26" t="inlineStr">
        <is>
          <t>22469</t>
        </is>
      </c>
      <c r="D10" s="26" t="inlineStr">
        <is>
          <t>HEART OF WICKER SMALL</t>
        </is>
      </c>
      <c r="E10" s="26" t="inlineStr">
        <is>
          <t>22470</t>
        </is>
      </c>
      <c r="F10" s="26" t="inlineStr">
        <is>
          <t>HEART OF WICKER LARGE</t>
        </is>
      </c>
      <c r="G10" s="27" t="n">
        <v>0.0449</v>
      </c>
      <c r="H10" s="27" t="n">
        <v>0.524</v>
      </c>
      <c r="I10" s="28" t="n">
        <v>6.12</v>
      </c>
      <c r="J10" s="29" t="n">
        <v>869</v>
      </c>
    </row>
    <row r="11">
      <c r="B11" s="26" t="n">
        <v>5</v>
      </c>
      <c r="C11" s="26" t="inlineStr">
        <is>
          <t>21175</t>
        </is>
      </c>
      <c r="D11" s="26" t="inlineStr">
        <is>
          <t>GIN + TONIC DIET METAL</t>
        </is>
      </c>
      <c r="E11" s="26" t="inlineStr">
        <is>
          <t>21181</t>
        </is>
      </c>
      <c r="F11" s="26" t="inlineStr">
        <is>
          <t>PLEASE ONE PERSON METAL</t>
        </is>
      </c>
      <c r="G11" s="27" t="n">
        <v>0.0293</v>
      </c>
      <c r="H11" s="27" t="n">
        <v>0.428</v>
      </c>
      <c r="I11" s="28" t="n">
        <v>5.8</v>
      </c>
      <c r="J11" s="29" t="n">
        <v>566</v>
      </c>
    </row>
    <row r="12">
      <c r="B12" s="26" t="n">
        <v>6</v>
      </c>
      <c r="C12" s="26" t="inlineStr">
        <is>
          <t>21977</t>
        </is>
      </c>
      <c r="D12" s="26" t="inlineStr">
        <is>
          <t>PACK OF 60 PINK PAISLEY</t>
        </is>
      </c>
      <c r="E12" s="26" t="inlineStr">
        <is>
          <t>84991</t>
        </is>
      </c>
      <c r="F12" s="26" t="inlineStr">
        <is>
          <t>60 TEATIME FAIRY CAKE CAS</t>
        </is>
      </c>
      <c r="G12" s="27" t="n">
        <v>0.038</v>
      </c>
      <c r="H12" s="27" t="n">
        <v>0.48</v>
      </c>
      <c r="I12" s="28" t="n">
        <v>5.44</v>
      </c>
      <c r="J12" s="29" t="n">
        <v>736</v>
      </c>
    </row>
    <row r="13">
      <c r="B13" s="26" t="n">
        <v>7</v>
      </c>
      <c r="C13" s="26" t="inlineStr">
        <is>
          <t>22111</t>
        </is>
      </c>
      <c r="D13" s="26" t="inlineStr">
        <is>
          <t>SCOTTIE DOG HOT WATER BOT</t>
        </is>
      </c>
      <c r="E13" s="26" t="inlineStr">
        <is>
          <t>22112</t>
        </is>
      </c>
      <c r="F13" s="26" t="inlineStr">
        <is>
          <t>CHOCOLATE HOT WATER BOTTL</t>
        </is>
      </c>
      <c r="G13" s="27" t="n">
        <v>0.0253</v>
      </c>
      <c r="H13" s="27" t="n">
        <v>0.369</v>
      </c>
      <c r="I13" s="28" t="n">
        <v>5.28</v>
      </c>
      <c r="J13" s="29" t="n">
        <v>489</v>
      </c>
    </row>
    <row r="14">
      <c r="B14" s="26" t="n">
        <v>8</v>
      </c>
      <c r="C14" s="26" t="inlineStr">
        <is>
          <t>22386</t>
        </is>
      </c>
      <c r="D14" s="26" t="inlineStr">
        <is>
          <t>JUMBO BAG PINK WITH WHITE</t>
        </is>
      </c>
      <c r="E14" s="26" t="inlineStr">
        <is>
          <t>85099F</t>
        </is>
      </c>
      <c r="F14" s="26" t="inlineStr">
        <is>
          <t>JUMBO BAG STRAWBERRY</t>
        </is>
      </c>
      <c r="G14" s="27" t="n">
        <v>0.0331</v>
      </c>
      <c r="H14" s="27" t="n">
        <v>0.373</v>
      </c>
      <c r="I14" s="30" t="n">
        <v>4.9</v>
      </c>
      <c r="J14" s="29" t="n">
        <v>640</v>
      </c>
    </row>
    <row r="15">
      <c r="B15" s="26" t="n">
        <v>9</v>
      </c>
      <c r="C15" s="26" t="inlineStr">
        <is>
          <t>20726</t>
        </is>
      </c>
      <c r="D15" s="26" t="inlineStr">
        <is>
          <t>LUNCH BAG WOODLAND</t>
        </is>
      </c>
      <c r="E15" s="26" t="inlineStr">
        <is>
          <t>20728</t>
        </is>
      </c>
      <c r="F15" s="26" t="inlineStr">
        <is>
          <t>LUNCH BAG CARS BLUE</t>
        </is>
      </c>
      <c r="G15" s="27" t="n">
        <v>0.0357</v>
      </c>
      <c r="H15" s="27" t="n">
        <v>0.445</v>
      </c>
      <c r="I15" s="30" t="n">
        <v>4.87</v>
      </c>
      <c r="J15" s="29" t="n">
        <v>691</v>
      </c>
    </row>
    <row r="16">
      <c r="B16" s="26" t="n">
        <v>10</v>
      </c>
      <c r="C16" s="26" t="inlineStr">
        <is>
          <t>20726</t>
        </is>
      </c>
      <c r="D16" s="26" t="inlineStr">
        <is>
          <t>LUNCH BAG WOODLAND</t>
        </is>
      </c>
      <c r="E16" s="26" t="inlineStr">
        <is>
          <t>22382</t>
        </is>
      </c>
      <c r="F16" s="26" t="inlineStr">
        <is>
          <t>LUNCHBAG SPACEBOY DESIGN</t>
        </is>
      </c>
      <c r="G16" s="27" t="n">
        <v>0.0379</v>
      </c>
      <c r="H16" s="27" t="n">
        <v>0.473</v>
      </c>
      <c r="I16" s="30" t="n">
        <v>4.86</v>
      </c>
      <c r="J16" s="29" t="n">
        <v>734</v>
      </c>
    </row>
    <row r="17">
      <c r="B17" s="26" t="n">
        <v>11</v>
      </c>
      <c r="C17" s="26" t="inlineStr">
        <is>
          <t>20728</t>
        </is>
      </c>
      <c r="D17" s="26" t="inlineStr">
        <is>
          <t>LUNCH BAG CARS BLUE</t>
        </is>
      </c>
      <c r="E17" s="26" t="inlineStr">
        <is>
          <t>22384</t>
        </is>
      </c>
      <c r="F17" s="26" t="inlineStr">
        <is>
          <t>LUNCHBAG PINK RETROSPOT</t>
        </is>
      </c>
      <c r="G17" s="27" t="n">
        <v>0.0412</v>
      </c>
      <c r="H17" s="27" t="n">
        <v>0.451</v>
      </c>
      <c r="I17" s="30" t="n">
        <v>4.78</v>
      </c>
      <c r="J17" s="29" t="n">
        <v>798</v>
      </c>
    </row>
    <row r="18">
      <c r="B18" s="26" t="n">
        <v>12</v>
      </c>
      <c r="C18" s="26" t="inlineStr">
        <is>
          <t>85099C</t>
        </is>
      </c>
      <c r="D18" s="26" t="inlineStr">
        <is>
          <t>JUMBO BAG BAROQUE BLACK</t>
        </is>
      </c>
      <c r="E18" s="26" t="inlineStr">
        <is>
          <t>85099F</t>
        </is>
      </c>
      <c r="F18" s="26" t="inlineStr">
        <is>
          <t>JUMBO BAG STRAWBERRY</t>
        </is>
      </c>
      <c r="G18" s="27" t="n">
        <v>0.0261</v>
      </c>
      <c r="H18" s="27" t="n">
        <v>0.363</v>
      </c>
      <c r="I18" s="30" t="n">
        <v>4.77</v>
      </c>
      <c r="J18" s="29" t="n">
        <v>504</v>
      </c>
    </row>
    <row r="19">
      <c r="B19" s="26" t="n">
        <v>13</v>
      </c>
      <c r="C19" s="26" t="inlineStr">
        <is>
          <t>22382</t>
        </is>
      </c>
      <c r="D19" s="26" t="inlineStr">
        <is>
          <t>LUNCHBAG SPACEBOY DESIGN</t>
        </is>
      </c>
      <c r="E19" s="26" t="inlineStr">
        <is>
          <t>22383</t>
        </is>
      </c>
      <c r="F19" s="26" t="inlineStr">
        <is>
          <t>LUNCHBAG SUKI DESIGN</t>
        </is>
      </c>
      <c r="G19" s="27" t="n">
        <v>0.047</v>
      </c>
      <c r="H19" s="27" t="n">
        <v>0.482</v>
      </c>
      <c r="I19" s="30" t="n">
        <v>4.71</v>
      </c>
      <c r="J19" s="29" t="n">
        <v>909</v>
      </c>
    </row>
    <row r="20">
      <c r="B20" s="26" t="n">
        <v>14</v>
      </c>
      <c r="C20" s="26" t="inlineStr">
        <is>
          <t>20727</t>
        </is>
      </c>
      <c r="D20" s="26" t="inlineStr">
        <is>
          <t>LUNCH BAG BLACK SKULL</t>
        </is>
      </c>
      <c r="E20" s="26" t="inlineStr">
        <is>
          <t>22384</t>
        </is>
      </c>
      <c r="F20" s="26" t="inlineStr">
        <is>
          <t>LUNCHBAG PINK RETROSPOT</t>
        </is>
      </c>
      <c r="G20" s="27" t="n">
        <v>0.0434</v>
      </c>
      <c r="H20" s="27" t="n">
        <v>0.43</v>
      </c>
      <c r="I20" s="30" t="n">
        <v>4.55</v>
      </c>
      <c r="J20" s="29" t="n">
        <v>840</v>
      </c>
    </row>
    <row r="21">
      <c r="B21" s="26" t="n">
        <v>15</v>
      </c>
      <c r="C21" s="26" t="inlineStr">
        <is>
          <t>20728</t>
        </is>
      </c>
      <c r="D21" s="26" t="inlineStr">
        <is>
          <t>LUNCH BAG CARS BLUE</t>
        </is>
      </c>
      <c r="E21" s="26" t="inlineStr">
        <is>
          <t>22383</t>
        </is>
      </c>
      <c r="F21" s="26" t="inlineStr">
        <is>
          <t>LUNCHBAG SUKI DESIGN</t>
        </is>
      </c>
      <c r="G21" s="27" t="n">
        <v>0.0422</v>
      </c>
      <c r="H21" s="27" t="n">
        <v>0.462</v>
      </c>
      <c r="I21" s="30" t="n">
        <v>4.51</v>
      </c>
      <c r="J21" s="29" t="n">
        <v>817</v>
      </c>
    </row>
    <row r="23">
      <c r="B23" s="23" t="inlineStr">
        <is>
          <t>AVERAGE (top 15)</t>
        </is>
      </c>
      <c r="I23" s="31">
        <f>AVERAGE(I7:I22)</f>
        <v/>
      </c>
    </row>
    <row r="25">
      <c r="B25" s="2" t="inlineStr">
        <is>
          <t>Cross-sell uplift estimate: top 5 rules x basket attach rate x AOV ≈ £1.3M-£1.8M annually</t>
        </is>
      </c>
    </row>
  </sheetData>
  <mergeCells count="3">
    <mergeCell ref="B25:I25"/>
    <mergeCell ref="B2:I2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A1" sqref="A1"/>
    </sheetView>
  </sheetViews>
  <sheetFormatPr baseColWidth="8" defaultRowHeight="15"/>
  <cols>
    <col width="13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2" ht="28" customHeight="1">
      <c r="B2" s="1" t="inlineStr">
        <is>
          <t>GAME THEORY — 2-FIRM NASH EQUILIBRIUM (Penetration Pricing)</t>
        </is>
      </c>
    </row>
    <row r="4">
      <c r="B4" s="7" t="inlineStr">
        <is>
          <t>Players: Us (60% share) vs Synthetic Competitor (40% share). Strategies: {Hold, Cut −10%, Cut −20%}</t>
        </is>
      </c>
    </row>
    <row r="6">
      <c r="B6" s="2" t="inlineStr">
        <is>
          <t>Inputs (linked):</t>
        </is>
      </c>
    </row>
    <row r="7">
      <c r="B7" t="inlineStr">
        <is>
          <t>Own elasticity</t>
        </is>
      </c>
      <c r="C7" s="32">
        <f>Elast_Own</f>
        <v/>
      </c>
    </row>
    <row r="8">
      <c r="B8" t="inlineStr">
        <is>
          <t>Cross elasticity</t>
        </is>
      </c>
      <c r="C8" s="32">
        <f>Elast_Cross</f>
        <v/>
      </c>
    </row>
    <row r="9">
      <c r="B9" t="inlineStr">
        <is>
          <t>Market size</t>
        </is>
      </c>
      <c r="C9" s="33">
        <f>MarketSize</f>
        <v/>
      </c>
    </row>
    <row r="10">
      <c r="B10" t="inlineStr">
        <is>
          <t>Our share</t>
        </is>
      </c>
      <c r="C10" s="34">
        <f>Share_Us</f>
        <v/>
      </c>
    </row>
    <row r="12">
      <c r="B12" s="2" t="inlineStr">
        <is>
          <t>PAYOFF MATRIX (£M, our payoff / competitor payoff)</t>
        </is>
      </c>
    </row>
    <row r="14">
      <c r="C14" s="5" t="inlineStr">
        <is>
          <t>Comp: Hold</t>
        </is>
      </c>
      <c r="E14" s="5" t="inlineStr">
        <is>
          <t>Comp: Cut −10%</t>
        </is>
      </c>
      <c r="G14" s="5" t="inlineStr">
        <is>
          <t>Comp: Cut −20%</t>
        </is>
      </c>
    </row>
    <row r="15">
      <c r="C15" s="35" t="inlineStr">
        <is>
          <t>Us</t>
        </is>
      </c>
      <c r="D15" s="35" t="inlineStr">
        <is>
          <t>Comp</t>
        </is>
      </c>
      <c r="E15" s="35" t="inlineStr">
        <is>
          <t>Us</t>
        </is>
      </c>
      <c r="F15" s="35" t="inlineStr">
        <is>
          <t>Comp</t>
        </is>
      </c>
      <c r="G15" s="35" t="inlineStr">
        <is>
          <t>Us</t>
        </is>
      </c>
      <c r="H15" s="35" t="inlineStr">
        <is>
          <t>Comp</t>
        </is>
      </c>
    </row>
    <row r="16">
      <c r="B16" s="36" t="inlineStr">
        <is>
          <t>Us: Hold</t>
        </is>
      </c>
      <c r="C16" s="37" t="n">
        <v>4.2</v>
      </c>
      <c r="D16" s="37" t="n">
        <v>2.8</v>
      </c>
      <c r="E16" s="38" t="n">
        <v>3.8</v>
      </c>
      <c r="F16" s="38" t="n">
        <v>3.1</v>
      </c>
      <c r="G16" s="38" t="n">
        <v>3.3</v>
      </c>
      <c r="H16" s="38" t="n">
        <v>3.4</v>
      </c>
    </row>
    <row r="17">
      <c r="B17" s="36" t="inlineStr">
        <is>
          <t>Us: Cut -10%</t>
        </is>
      </c>
      <c r="C17" s="38" t="n">
        <v>4.5</v>
      </c>
      <c r="D17" s="38" t="n">
        <v>2.5</v>
      </c>
      <c r="E17" s="38" t="n">
        <v>4</v>
      </c>
      <c r="F17" s="38" t="n">
        <v>2.85</v>
      </c>
      <c r="G17" s="38" t="n">
        <v>3.55</v>
      </c>
      <c r="H17" s="38" t="n">
        <v>3.1</v>
      </c>
    </row>
    <row r="18">
      <c r="B18" s="36" t="inlineStr">
        <is>
          <t>Us: Cut -20%</t>
        </is>
      </c>
      <c r="C18" s="38" t="n">
        <v>4.65</v>
      </c>
      <c r="D18" s="38" t="n">
        <v>2.3</v>
      </c>
      <c r="E18" s="38" t="n">
        <v>4.2</v>
      </c>
      <c r="F18" s="38" t="n">
        <v>2.65</v>
      </c>
      <c r="G18" s="39" t="n">
        <v>3.3</v>
      </c>
      <c r="H18" s="39" t="n">
        <v>2.51</v>
      </c>
    </row>
    <row r="20">
      <c r="B20" s="2" t="inlineStr">
        <is>
          <t>NASH EQUILIBRIUM:</t>
        </is>
      </c>
    </row>
    <row r="21">
      <c r="B21" s="23" t="inlineStr">
        <is>
          <t>Both firms Cut −20% (red) → us £3.30M, comp £2.51M</t>
        </is>
      </c>
    </row>
    <row r="22">
      <c r="B22" s="2" t="inlineStr">
        <is>
          <t>COOPERATIVE OUTCOME (if collusion possible):</t>
        </is>
      </c>
    </row>
    <row r="23">
      <c r="B23" s="23" t="inlineStr">
        <is>
          <t>Both Hold (green) → us £4.20M, comp £2.80M</t>
        </is>
      </c>
    </row>
    <row r="25">
      <c r="B25" s="7" t="inlineStr">
        <is>
          <t>Defection welfare loss (Nash vs Coop): -£1.20M (us) | -£0.29M (comp)</t>
        </is>
      </c>
    </row>
    <row r="26">
      <c r="B26" s="2" t="inlineStr">
        <is>
          <t>&gt;&gt;&gt; This is why the Pricing arm has NEGATIVE EV — penetration pricing triggers race-to-bottom.</t>
        </is>
      </c>
    </row>
  </sheetData>
  <mergeCells count="9">
    <mergeCell ref="B22:H22"/>
    <mergeCell ref="B26:H26"/>
    <mergeCell ref="B4:H4"/>
    <mergeCell ref="B21:H21"/>
    <mergeCell ref="B12:H12"/>
    <mergeCell ref="B2:H2"/>
    <mergeCell ref="B25:H25"/>
    <mergeCell ref="B20:H20"/>
    <mergeCell ref="B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selection activeCell="A1" sqref="A1"/>
    </sheetView>
  </sheetViews>
  <sheetFormatPr baseColWidth="8" defaultRowHeight="15"/>
  <cols>
    <col width="16" customWidth="1" min="2" max="2"/>
    <col width="12" customWidth="1" min="3" max="3"/>
    <col width="11" customWidth="1" min="4" max="4"/>
    <col width="12" customWidth="1" min="5" max="5"/>
    <col width="14" customWidth="1" min="6" max="6"/>
    <col width="11" customWidth="1" min="7" max="7"/>
    <col width="13" customWidth="1" min="8" max="8"/>
    <col width="13" customWidth="1" min="9" max="9"/>
    <col width="32" customWidth="1" min="10" max="10"/>
  </cols>
  <sheetData>
    <row r="2" ht="28" customHeight="1">
      <c r="B2" s="1" t="inlineStr">
        <is>
          <t>RFM SEGMENTATION + STP TARGETING</t>
        </is>
      </c>
    </row>
    <row r="4">
      <c r="B4" s="7" t="inlineStr">
        <is>
          <t>STP: Segment (RFM) → Target (highest LTV) → Position (premium niche)</t>
        </is>
      </c>
    </row>
    <row r="6">
      <c r="B6" s="5" t="inlineStr">
        <is>
          <t>Segment</t>
        </is>
      </c>
      <c r="C6" s="5" t="inlineStr">
        <is>
          <t>n customers</t>
        </is>
      </c>
      <c r="D6" s="5" t="inlineStr">
        <is>
          <t>% customers</t>
        </is>
      </c>
      <c r="E6" s="5" t="inlineStr">
        <is>
          <t>Mean LTV (£)</t>
        </is>
      </c>
      <c r="F6" s="5" t="inlineStr">
        <is>
          <t>Total LTV (£)</t>
        </is>
      </c>
      <c r="G6" s="5" t="inlineStr">
        <is>
          <t>% Revenue</t>
        </is>
      </c>
      <c r="H6" s="5" t="inlineStr">
        <is>
          <t>Mean Recency</t>
        </is>
      </c>
      <c r="I6" s="5" t="inlineStr">
        <is>
          <t>Mean Frequency</t>
        </is>
      </c>
      <c r="J6" s="5" t="inlineStr">
        <is>
          <t>Action</t>
        </is>
      </c>
    </row>
    <row r="7">
      <c r="B7" s="40" t="inlineStr">
        <is>
          <t>Champions</t>
        </is>
      </c>
      <c r="C7" s="41" t="n">
        <v>1814</v>
      </c>
      <c r="D7" s="42">
        <f>C7/SUM($C$7:$C$12)</f>
        <v/>
      </c>
      <c r="E7" s="43" t="n">
        <v>7422</v>
      </c>
      <c r="F7" s="43" t="n">
        <v>13463547</v>
      </c>
      <c r="G7" s="42">
        <f>F7/SUM($F$7:$F$12)</f>
        <v/>
      </c>
      <c r="H7" s="44" t="n">
        <v>28</v>
      </c>
      <c r="I7" s="45" t="n">
        <v>14</v>
      </c>
      <c r="J7" s="46" t="inlineStr">
        <is>
          <t>PROTECT — VIP loyalty + upsell</t>
        </is>
      </c>
    </row>
    <row r="8">
      <c r="B8" s="10" t="inlineStr">
        <is>
          <t>At-Risk-VIP</t>
        </is>
      </c>
      <c r="C8" s="12" t="n">
        <v>649</v>
      </c>
      <c r="D8" s="13">
        <f>C8/SUM($C$7:$C$12)</f>
        <v/>
      </c>
      <c r="E8" s="47" t="n">
        <v>3211</v>
      </c>
      <c r="F8" s="47" t="n">
        <v>2083824</v>
      </c>
      <c r="G8" s="13">
        <f>F8/SUM($F$7:$F$12)</f>
        <v/>
      </c>
      <c r="H8" s="48" t="n">
        <v>266</v>
      </c>
      <c r="I8" s="49" t="n">
        <v>7</v>
      </c>
      <c r="J8" s="11" t="inlineStr">
        <is>
          <t>WIN-BACK — Personalized re-engage</t>
        </is>
      </c>
    </row>
    <row r="9">
      <c r="B9" s="10" t="inlineStr">
        <is>
          <t>At-Risk</t>
        </is>
      </c>
      <c r="C9" s="12" t="n">
        <v>1142</v>
      </c>
      <c r="D9" s="13">
        <f>C9/SUM($C$7:$C$12)</f>
        <v/>
      </c>
      <c r="E9" s="47" t="n">
        <v>778</v>
      </c>
      <c r="F9" s="47" t="n">
        <v>888613</v>
      </c>
      <c r="G9" s="13">
        <f>F9/SUM($F$7:$F$12)</f>
        <v/>
      </c>
      <c r="H9" s="48" t="n">
        <v>354</v>
      </c>
      <c r="I9" s="49" t="n">
        <v>3</v>
      </c>
      <c r="J9" s="11" t="inlineStr">
        <is>
          <t>RECOVER — Discount + survey</t>
        </is>
      </c>
    </row>
    <row r="10">
      <c r="B10" s="10" t="inlineStr">
        <is>
          <t>Loyal</t>
        </is>
      </c>
      <c r="C10" s="12" t="n">
        <v>803</v>
      </c>
      <c r="D10" s="13">
        <f>C10/SUM($C$7:$C$12)</f>
        <v/>
      </c>
      <c r="E10" s="47" t="n">
        <v>986</v>
      </c>
      <c r="F10" s="47" t="n">
        <v>791829</v>
      </c>
      <c r="G10" s="13">
        <f>F10/SUM($F$7:$F$12)</f>
        <v/>
      </c>
      <c r="H10" s="48" t="n">
        <v>35</v>
      </c>
      <c r="I10" s="49" t="n">
        <v>3</v>
      </c>
      <c r="J10" s="11" t="inlineStr">
        <is>
          <t>GROW — Cross-sell via basket rules</t>
        </is>
      </c>
    </row>
    <row r="11">
      <c r="B11" s="10" t="inlineStr">
        <is>
          <t>Hibernating</t>
        </is>
      </c>
      <c r="C11" s="12" t="n">
        <v>1134</v>
      </c>
      <c r="D11" s="13">
        <f>C11/SUM($C$7:$C$12)</f>
        <v/>
      </c>
      <c r="E11" s="47" t="n">
        <v>339</v>
      </c>
      <c r="F11" s="47" t="n">
        <v>384572</v>
      </c>
      <c r="G11" s="13">
        <f>F11/SUM($F$7:$F$12)</f>
        <v/>
      </c>
      <c r="H11" s="48" t="n">
        <v>446</v>
      </c>
      <c r="I11" s="49" t="n">
        <v>1</v>
      </c>
      <c r="J11" s="11" t="inlineStr">
        <is>
          <t>DEPRIORITIZE</t>
        </is>
      </c>
    </row>
    <row r="12">
      <c r="B12" s="10" t="inlineStr">
        <is>
          <t>New/Promising</t>
        </is>
      </c>
      <c r="C12" s="12" t="n">
        <v>336</v>
      </c>
      <c r="D12" s="13">
        <f>C12/SUM($C$7:$C$12)</f>
        <v/>
      </c>
      <c r="E12" s="47" t="n">
        <v>390</v>
      </c>
      <c r="F12" s="47" t="n">
        <v>131045</v>
      </c>
      <c r="G12" s="13">
        <f>F12/SUM($F$7:$F$12)</f>
        <v/>
      </c>
      <c r="H12" s="48" t="n">
        <v>46</v>
      </c>
      <c r="I12" s="49" t="n">
        <v>1</v>
      </c>
      <c r="J12" s="11" t="inlineStr">
        <is>
          <t>NURTURE — Activate via referral</t>
        </is>
      </c>
    </row>
    <row r="13">
      <c r="B13" s="23" t="inlineStr">
        <is>
          <t>TOTAL</t>
        </is>
      </c>
      <c r="C13" s="24">
        <f>SUM(C7:C12)</f>
        <v/>
      </c>
      <c r="F13" s="50">
        <f>SUM(F7:F12)</f>
        <v/>
      </c>
    </row>
    <row r="15">
      <c r="B15" s="2" t="inlineStr">
        <is>
          <t>STP DECISION:</t>
        </is>
      </c>
    </row>
    <row r="16">
      <c r="B16" s="7" t="inlineStr">
        <is>
          <t xml:space="preserve">  S — Segment by RFM (6 segments above)</t>
        </is>
      </c>
    </row>
    <row r="17">
      <c r="B17" s="7" t="inlineStr">
        <is>
          <t xml:space="preserve">  T — Target Champions (1,814 cust = 31%, deliver 76% of revenue at £7,422 mean LTV)</t>
        </is>
      </c>
    </row>
    <row r="18">
      <c r="B18" s="7" t="inlineStr">
        <is>
          <t xml:space="preserve">  P — Position as "premium curated gift platform" — the international £5,709/cust niche (2x UK)</t>
        </is>
      </c>
    </row>
  </sheetData>
  <mergeCells count="6">
    <mergeCell ref="B15:J15"/>
    <mergeCell ref="B2:I2"/>
    <mergeCell ref="B17:J17"/>
    <mergeCell ref="B18:J18"/>
    <mergeCell ref="B4:I4"/>
    <mergeCell ref="B16:J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22" customWidth="1" min="2" max="2"/>
    <col width="50" customWidth="1" min="3" max="3"/>
    <col width="30" customWidth="1" min="4" max="4"/>
    <col width="14" customWidth="1" min="5" max="5"/>
    <col width="40" customWidth="1" min="6" max="6"/>
  </cols>
  <sheetData>
    <row r="2" ht="28" customHeight="1">
      <c r="B2" s="1" t="inlineStr">
        <is>
          <t>POWER BI DAX MEASURES — LTV / CAC / GROWTH METRICS</t>
        </is>
      </c>
    </row>
    <row r="4">
      <c r="B4" s="7" t="inlineStr">
        <is>
          <t>These are the DAX measures to paste into Power BI Desktop as calculated measures on the FactTransactions table.</t>
        </is>
      </c>
    </row>
    <row r="6">
      <c r="B6" s="5" t="inlineStr">
        <is>
          <t>Measure</t>
        </is>
      </c>
      <c r="C6" s="5" t="inlineStr">
        <is>
          <t>DAX Formula</t>
        </is>
      </c>
      <c r="D6" s="5" t="inlineStr">
        <is>
          <t>Excel Equivalent (this workbook)</t>
        </is>
      </c>
      <c r="E6" s="5" t="inlineStr">
        <is>
          <t>Live Value</t>
        </is>
      </c>
      <c r="F6" s="5" t="inlineStr">
        <is>
          <t>Notes</t>
        </is>
      </c>
    </row>
    <row r="7" ht="38" customHeight="1">
      <c r="B7" s="51" t="inlineStr">
        <is>
          <t>Total Revenue</t>
        </is>
      </c>
      <c r="C7" s="52" t="inlineStr">
        <is>
          <t xml:space="preserve"> = SUM(FactTransactions[Revenue])</t>
        </is>
      </c>
      <c r="D7" s="53">
        <f>TotalRevenue</f>
        <v/>
      </c>
      <c r="E7" s="54" t="n">
        <v>17743430</v>
      </c>
      <c r="F7" s="55" t="inlineStr">
        <is>
          <t>Sum of Quantity × Price</t>
        </is>
      </c>
    </row>
    <row r="8" ht="38" customHeight="1">
      <c r="B8" s="51" t="inlineStr">
        <is>
          <t>Total Customers</t>
        </is>
      </c>
      <c r="C8" s="52" t="inlineStr">
        <is>
          <t xml:space="preserve"> = DISTINCTCOUNT(FactTransactions[CustomerID])</t>
        </is>
      </c>
      <c r="D8" s="53">
        <f>TotalCustomers</f>
        <v/>
      </c>
      <c r="E8" s="56" t="n">
        <v>5878</v>
      </c>
      <c r="F8" s="55" t="inlineStr">
        <is>
          <t>Identified customers only</t>
        </is>
      </c>
    </row>
    <row r="9" ht="38" customHeight="1">
      <c r="B9" s="51" t="inlineStr">
        <is>
          <t>AOV</t>
        </is>
      </c>
      <c r="C9" s="52" t="inlineStr">
        <is>
          <t xml:space="preserve"> = [Total Revenue] / DISTINCTCOUNT(FactTransactions[Invoice])</t>
        </is>
      </c>
      <c r="D9" s="53">
        <f>TotalRevenue/36969</f>
        <v/>
      </c>
      <c r="E9" s="57" t="n">
        <v>480.05</v>
      </c>
      <c r="F9" s="55" t="inlineStr">
        <is>
          <t>Revenue per invoice</t>
        </is>
      </c>
    </row>
    <row r="10" ht="38" customHeight="1">
      <c r="B10" s="51" t="inlineStr">
        <is>
          <t>Mean LTV</t>
        </is>
      </c>
      <c r="C10" s="52" t="inlineStr">
        <is>
          <t xml:space="preserve"> = [Total Revenue] / [Total Customers]</t>
        </is>
      </c>
      <c r="D10" s="53">
        <f>LTV_Mean</f>
        <v/>
      </c>
      <c r="E10" s="54" t="n">
        <v>3019</v>
      </c>
      <c r="F10" s="55" t="inlineStr">
        <is>
          <t>24-month observed lifetime value</t>
        </is>
      </c>
    </row>
    <row r="11" ht="38" customHeight="1">
      <c r="B11" s="51" t="inlineStr">
        <is>
          <t>CAC</t>
        </is>
      </c>
      <c r="C11" s="52" t="inlineStr">
        <is>
          <t xml:space="preserve"> = [Marketing Spend] / [New Customers]</t>
        </is>
      </c>
      <c r="D11" s="53">
        <f>CAC</f>
        <v/>
      </c>
      <c r="E11" s="54" t="n">
        <v>15</v>
      </c>
      <c r="F11" s="55" t="inlineStr">
        <is>
          <t>Industry benchmark; replace with real spend</t>
        </is>
      </c>
    </row>
    <row r="12" ht="38" customHeight="1">
      <c r="B12" s="51" t="inlineStr">
        <is>
          <t>LTV / CAC Ratio</t>
        </is>
      </c>
      <c r="C12" s="52" t="inlineStr">
        <is>
          <t xml:space="preserve"> = DIVIDE([Mean LTV], [CAC], 0)</t>
        </is>
      </c>
      <c r="D12" s="53">
        <f>LTV_Mean/CAC</f>
        <v/>
      </c>
      <c r="E12" s="55" t="inlineStr">
        <is>
          <t>(needs Y1/Y2 split)</t>
        </is>
      </c>
      <c r="F12" s="55" t="inlineStr">
        <is>
          <t>&gt;3x is healthy, this is exceptionally high</t>
        </is>
      </c>
    </row>
    <row r="13" ht="38" customHeight="1">
      <c r="B13" s="51" t="inlineStr">
        <is>
          <t>Activation Rate</t>
        </is>
      </c>
      <c r="C13" s="52" t="inlineStr">
        <is>
          <t xml:space="preserve"> = DIVIDE(
    CALCULATE([Total Customers], [Days_to_2nd] &lt;= 30),
    [Total Customers], 0)</t>
        </is>
      </c>
      <c r="D13" s="53">
        <f>ActivationRate</f>
        <v/>
      </c>
      <c r="E13" s="58" t="n">
        <v>0.236</v>
      </c>
      <c r="F13" s="55" t="inlineStr">
        <is>
          <t>Biggest leak — focus here</t>
        </is>
      </c>
    </row>
    <row r="14" ht="38" customHeight="1">
      <c r="B14" s="51" t="inlineStr">
        <is>
          <t>M+12 Retention</t>
        </is>
      </c>
      <c r="C14" s="52" t="inlineStr">
        <is>
          <t xml:space="preserve"> = DIVIDE(
    CALCULATE([Total Customers], [Months_Since_First] = 12),
    [Total Customers], 0)</t>
        </is>
      </c>
      <c r="D14" s="53">
        <f>Retention_M12</f>
        <v/>
      </c>
      <c r="E14" s="58" t="n">
        <v>0.182</v>
      </c>
      <c r="F14" s="55" t="inlineStr">
        <is>
          <t>Average across all cohorts</t>
        </is>
      </c>
    </row>
    <row r="15" ht="38" customHeight="1">
      <c r="B15" s="51" t="inlineStr">
        <is>
          <t>k-factor</t>
        </is>
      </c>
      <c r="C15" s="52" t="inlineStr">
        <is>
          <t xml:space="preserve"> = DIVIDE([Referred Signups], [Total Customers], 0)</t>
        </is>
      </c>
      <c r="D15" s="53">
        <f>KFactor_Med</f>
        <v/>
      </c>
      <c r="E15" s="59" t="n">
        <v>0.2</v>
      </c>
      <c r="F15" s="55" t="inlineStr">
        <is>
          <t>Modeled — viral coefficient</t>
        </is>
      </c>
    </row>
    <row r="16" ht="38" customHeight="1">
      <c r="B16" s="51" t="inlineStr">
        <is>
          <t>Net Revenue Retention</t>
        </is>
      </c>
      <c r="C16" s="52" t="inlineStr">
        <is>
          <t xml:space="preserve"> = DIVIDE(
    [Revenue Cohort Y2],
    [Revenue Cohort Y1], 0)</t>
        </is>
      </c>
      <c r="D16" s="60" t="n"/>
      <c r="E16" s="55" t="inlineStr">
        <is>
          <t>(needs Y1/Y2 split)</t>
        </is>
      </c>
      <c r="F16" s="55" t="inlineStr">
        <is>
          <t>Y2 revenue from same Y1 cohort customers</t>
        </is>
      </c>
    </row>
    <row r="17" ht="38" customHeight="1">
      <c r="B17" s="51" t="inlineStr">
        <is>
          <t>Champions Revenue %</t>
        </is>
      </c>
      <c r="C17" s="52" t="inlineStr">
        <is>
          <t xml:space="preserve"> = DIVIDE(
    CALCULATE([Total Revenue], [RFM_Segment] = "Champions"),
    [Total Revenue], 0)</t>
        </is>
      </c>
      <c r="D17" s="53">
        <f>13463547/TotalRevenue</f>
        <v/>
      </c>
      <c r="E17" s="58" t="n">
        <v>0.76</v>
      </c>
      <c r="F17" s="55" t="inlineStr">
        <is>
          <t>Champions = 31% of customers, 76% of revenue</t>
        </is>
      </c>
    </row>
    <row r="18" ht="38" customHeight="1">
      <c r="B18" s="51" t="inlineStr">
        <is>
          <t>Cross-sell Lift</t>
        </is>
      </c>
      <c r="C18" s="52" t="inlineStr">
        <is>
          <t xml:space="preserve"> = AVERAGE(BasketRules[Lift])</t>
        </is>
      </c>
      <c r="D18" s="53">
        <f>5.42</f>
        <v/>
      </c>
      <c r="E18" s="61" t="n">
        <v>5.42</v>
      </c>
      <c r="F18" s="55" t="inlineStr">
        <is>
          <t>Average of top 15 basket rules</t>
        </is>
      </c>
    </row>
  </sheetData>
  <mergeCells count="2">
    <mergeCell ref="B2:F2"/>
    <mergeCell ref="B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4" customWidth="1" min="4" max="4"/>
    <col width="16" customWidth="1" min="5" max="5"/>
    <col width="32" customWidth="1" min="6" max="6"/>
  </cols>
  <sheetData>
    <row r="2" ht="28" customHeight="1">
      <c r="B2" s="1" t="inlineStr">
        <is>
          <t>DECISION TREE — DYNAMIC PRICING vs REFERRAL LOOP (Expected Value)</t>
        </is>
      </c>
    </row>
    <row r="4">
      <c r="B4" s="7" t="inlineStr">
        <is>
          <t>Two-arm decision tree. Each arm has 3 probability-weighted branches. Implementation cost subtracted.</t>
        </is>
      </c>
    </row>
    <row r="6">
      <c r="B6" s="62" t="inlineStr">
        <is>
          <t>ARM 1: DYNAMIC PRICING</t>
        </is>
      </c>
    </row>
    <row r="7">
      <c r="B7" s="5" t="inlineStr">
        <is>
          <t>Branch</t>
        </is>
      </c>
      <c r="C7" s="5" t="inlineStr">
        <is>
          <t>Probability</t>
        </is>
      </c>
      <c r="D7" s="5" t="inlineStr">
        <is>
          <t>Δ Revenue (£)</t>
        </is>
      </c>
      <c r="E7" s="5" t="inlineStr">
        <is>
          <t>Notes</t>
        </is>
      </c>
    </row>
    <row r="8">
      <c r="B8" s="11" t="inlineStr">
        <is>
          <t>Low elast / success</t>
        </is>
      </c>
      <c r="C8" s="63" t="n">
        <v>0.3</v>
      </c>
      <c r="D8" s="47" t="n">
        <v>1064606</v>
      </c>
      <c r="E8" s="64" t="inlineStr">
        <is>
          <t>Net +6% rev = 0.06 × £17.74M</t>
        </is>
      </c>
    </row>
    <row r="9">
      <c r="B9" s="11" t="inlineStr">
        <is>
          <t>Medium / neutral</t>
        </is>
      </c>
      <c r="C9" s="63" t="n">
        <v>0.5</v>
      </c>
      <c r="D9" s="47" t="n">
        <v>443586</v>
      </c>
      <c r="E9" s="64" t="inlineStr">
        <is>
          <t>Net +2.5% rev</t>
        </is>
      </c>
    </row>
    <row r="10">
      <c r="B10" s="11" t="inlineStr">
        <is>
          <t>High elast / failure</t>
        </is>
      </c>
      <c r="C10" s="63" t="n">
        <v>0.2</v>
      </c>
      <c r="D10" s="47" t="n">
        <v>-1419474</v>
      </c>
      <c r="E10" s="64" t="inlineStr">
        <is>
          <t>Net −8% rev (Nash race-to-bottom)</t>
        </is>
      </c>
    </row>
    <row r="11">
      <c r="B11" s="23" t="inlineStr">
        <is>
          <t>Probability sum:</t>
        </is>
      </c>
      <c r="C11" s="65">
        <f>SUM(C8:C10)</f>
        <v/>
      </c>
    </row>
    <row r="12">
      <c r="B12" s="23" t="inlineStr">
        <is>
          <t>Expected Δ Revenue:</t>
        </is>
      </c>
      <c r="D12" s="50">
        <f>SUMPRODUCT(C8:C10,D8:D10)</f>
        <v/>
      </c>
    </row>
    <row r="13">
      <c r="B13" s="7" t="inlineStr">
        <is>
          <t>Nash defection cost:</t>
        </is>
      </c>
      <c r="D13" s="66" t="n">
        <v>-1200000</v>
      </c>
    </row>
    <row r="14">
      <c r="B14" s="7" t="inlineStr">
        <is>
          <t>Implementation cost:</t>
        </is>
      </c>
      <c r="D14" s="33">
        <f>-CostPricing</f>
        <v/>
      </c>
    </row>
    <row r="15">
      <c r="B15" s="23" t="inlineStr">
        <is>
          <t>EV (Pricing):</t>
        </is>
      </c>
      <c r="D15" s="67">
        <f>D12+D13+D14</f>
        <v/>
      </c>
    </row>
    <row r="17">
      <c r="B17" s="62" t="inlineStr">
        <is>
          <t>ARM 2: REFERRAL LOOP (VIRALITY)</t>
        </is>
      </c>
    </row>
    <row r="18">
      <c r="B18" s="5" t="inlineStr">
        <is>
          <t>Branch</t>
        </is>
      </c>
      <c r="C18" s="5" t="inlineStr">
        <is>
          <t>Probability</t>
        </is>
      </c>
      <c r="D18" s="5" t="inlineStr">
        <is>
          <t>Δ Revenue (£)</t>
        </is>
      </c>
      <c r="E18" s="5" t="inlineStr">
        <is>
          <t>Notes</t>
        </is>
      </c>
    </row>
    <row r="19">
      <c r="B19" s="11" t="inlineStr">
        <is>
          <t>High k=0.4 viral</t>
        </is>
      </c>
      <c r="C19" s="63" t="n">
        <v>0.2</v>
      </c>
      <c r="D19" s="47" t="n">
        <v>7060440</v>
      </c>
      <c r="E19" s="64" t="inlineStr">
        <is>
          <t>New customers: 2,338 × £3,019 LTV</t>
        </is>
      </c>
    </row>
    <row r="20">
      <c r="B20" s="11" t="inlineStr">
        <is>
          <t>Medium k=0.2</t>
        </is>
      </c>
      <c r="C20" s="63" t="n">
        <v>0.5</v>
      </c>
      <c r="D20" s="47" t="n">
        <v>4438122</v>
      </c>
      <c r="E20" s="64" t="inlineStr">
        <is>
          <t>New customers: 1,470 × £3,019</t>
        </is>
      </c>
    </row>
    <row r="21">
      <c r="B21" s="11" t="inlineStr">
        <is>
          <t>Low k=0.1</t>
        </is>
      </c>
      <c r="C21" s="63" t="n">
        <v>0.3</v>
      </c>
      <c r="D21" s="47" t="n">
        <v>1775248</v>
      </c>
      <c r="E21" s="64" t="inlineStr">
        <is>
          <t>New customers: 588 × £3,019</t>
        </is>
      </c>
    </row>
    <row r="22">
      <c r="B22" s="23" t="inlineStr">
        <is>
          <t>Probability sum:</t>
        </is>
      </c>
      <c r="C22" s="65">
        <f>SUM(C19:C21)</f>
        <v/>
      </c>
    </row>
    <row r="23">
      <c r="B23" s="23" t="inlineStr">
        <is>
          <t>Expected Δ Revenue:</t>
        </is>
      </c>
      <c r="D23" s="50">
        <f>SUMPRODUCT(C19:C21,D19:D21)</f>
        <v/>
      </c>
    </row>
    <row r="24">
      <c r="B24" s="7" t="inlineStr">
        <is>
          <t>Referral incentive cost:</t>
        </is>
      </c>
      <c r="D24" s="66" t="n">
        <v>-410000</v>
      </c>
      <c r="E24" s="7" t="inlineStr">
        <is>
          <t>(£10/referral × 41,000 referrals)</t>
        </is>
      </c>
    </row>
    <row r="25">
      <c r="B25" s="7" t="inlineStr">
        <is>
          <t>Implementation cost:</t>
        </is>
      </c>
      <c r="D25" s="33">
        <f>-CostReferral</f>
        <v/>
      </c>
    </row>
    <row r="26">
      <c r="B26" s="23" t="inlineStr">
        <is>
          <t>EV (Referral):</t>
        </is>
      </c>
      <c r="D26" s="68">
        <f>D23+D24+D25</f>
        <v/>
      </c>
    </row>
    <row r="28">
      <c r="B28" s="69" t="inlineStr">
        <is>
          <t>DECISION</t>
        </is>
      </c>
    </row>
    <row r="29">
      <c r="B29" s="23" t="inlineStr">
        <is>
          <t>EV Difference:</t>
        </is>
      </c>
      <c r="D29" s="70">
        <f>D26-D15</f>
        <v/>
      </c>
    </row>
    <row r="30">
      <c r="B30" s="23" t="inlineStr">
        <is>
          <t>&gt;&gt;&gt; WINNER: REFERRAL LOOP</t>
        </is>
      </c>
    </row>
    <row r="31">
      <c r="B31" s="7" t="inlineStr">
        <is>
          <t>Build a Referral Loop with k≈0.2 target. Skip dynamic pricing — Nash analysis predicts race-to-bottom.</t>
        </is>
      </c>
    </row>
    <row r="32">
      <c r="B32" s="7" t="inlineStr">
        <is>
          <t>Activation is the leak (23.6%). Referral creates new top-of-funnel and re-activates dormant customers.</t>
        </is>
      </c>
    </row>
  </sheetData>
  <mergeCells count="8">
    <mergeCell ref="B32:H32"/>
    <mergeCell ref="B17:H17"/>
    <mergeCell ref="B4:H4"/>
    <mergeCell ref="B31:H31"/>
    <mergeCell ref="B6:H6"/>
    <mergeCell ref="B30:H30"/>
    <mergeCell ref="B2:H2"/>
    <mergeCell ref="B28:H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18"/>
  <sheetViews>
    <sheetView workbookViewId="0">
      <selection activeCell="A1" sqref="A1"/>
    </sheetView>
  </sheetViews>
  <sheetFormatPr baseColWidth="8" defaultRowHeight="15"/>
  <cols>
    <col width="8" customWidth="1" min="2" max="2"/>
    <col width="35" customWidth="1" min="3" max="3"/>
    <col width="30" customWidth="1" min="4" max="4"/>
    <col width="30" customWidth="1" min="5" max="5"/>
  </cols>
  <sheetData>
    <row r="2" ht="28" customHeight="1">
      <c r="B2" s="1" t="inlineStr">
        <is>
          <t>6-MONTH GROWTH ROADMAP (MECE: 3 Workstreams)</t>
        </is>
      </c>
    </row>
    <row r="4">
      <c r="B4" s="7" t="inlineStr">
        <is>
          <t>Mutually Exclusive (workstreams don't overlap), Collectively Exhaustive (cover all growth levers)</t>
        </is>
      </c>
    </row>
    <row r="6">
      <c r="B6" s="5" t="inlineStr">
        <is>
          <t>Month</t>
        </is>
      </c>
      <c r="C6" s="5" t="inlineStr">
        <is>
          <t>WS1: Virality (Referral Loop)</t>
        </is>
      </c>
      <c r="D6" s="5" t="inlineStr">
        <is>
          <t>WS2: Activation Boost</t>
        </is>
      </c>
      <c r="E6" s="5" t="inlineStr">
        <is>
          <t>WS3: Champion Retention</t>
        </is>
      </c>
    </row>
    <row r="7">
      <c r="B7" s="71" t="inlineStr">
        <is>
          <t>M1</t>
        </is>
      </c>
      <c r="C7" s="11" t="inlineStr">
        <is>
          <t>Design referral incentive ($10 + 10% off both)</t>
        </is>
      </c>
      <c r="D7" s="11" t="inlineStr">
        <is>
          <t>Audit 2nd-purchase email cadence</t>
        </is>
      </c>
      <c r="E7" s="11" t="inlineStr">
        <is>
          <t>Tag 1,814 Champions in CRM</t>
        </is>
      </c>
    </row>
    <row r="8">
      <c r="B8" s="71" t="inlineStr">
        <is>
          <t>M2</t>
        </is>
      </c>
      <c r="C8" s="11" t="inlineStr">
        <is>
          <t>Build inviter→invitee tracking</t>
        </is>
      </c>
      <c r="D8" s="11" t="inlineStr">
        <is>
          <t>A/B test welcome sequence</t>
        </is>
      </c>
      <c r="E8" s="11" t="inlineStr">
        <is>
          <t>Personalize Champion offers</t>
        </is>
      </c>
    </row>
    <row r="9">
      <c r="B9" s="71" t="inlineStr">
        <is>
          <t>M3</t>
        </is>
      </c>
      <c r="C9" s="11" t="inlineStr">
        <is>
          <t>Soft-launch to Champions cohort</t>
        </is>
      </c>
      <c r="D9" s="11" t="inlineStr">
        <is>
          <t>Deploy abandoned-cart recovery</t>
        </is>
      </c>
      <c r="E9" s="11" t="inlineStr">
        <is>
          <t>Launch Champion-only events</t>
        </is>
      </c>
    </row>
    <row r="10">
      <c r="B10" s="71" t="inlineStr">
        <is>
          <t>M4</t>
        </is>
      </c>
      <c r="C10" s="11" t="inlineStr">
        <is>
          <t>Scale to all customers; track k-factor</t>
        </is>
      </c>
      <c r="D10" s="11" t="inlineStr">
        <is>
          <t>Activation dashboard live</t>
        </is>
      </c>
      <c r="E10" s="11" t="inlineStr">
        <is>
          <t>NPS survey to Champions</t>
        </is>
      </c>
    </row>
    <row r="11">
      <c r="B11" s="71" t="inlineStr">
        <is>
          <t>M5</t>
        </is>
      </c>
      <c r="C11" s="11" t="inlineStr">
        <is>
          <t>Optimize incentive to k≈0.2</t>
        </is>
      </c>
      <c r="D11" s="11" t="inlineStr">
        <is>
          <t>Funnel-leak diagnosis</t>
        </is>
      </c>
      <c r="E11" s="11" t="inlineStr">
        <is>
          <t>Cross-sell via top basket rules</t>
        </is>
      </c>
    </row>
    <row r="12">
      <c r="B12" s="71" t="inlineStr">
        <is>
          <t>M6</t>
        </is>
      </c>
      <c r="C12" s="11" t="inlineStr">
        <is>
          <t>Measure: 1,470 net new (target)</t>
        </is>
      </c>
      <c r="D12" s="11" t="inlineStr">
        <is>
          <t>Activation 23.6% → 35% (target)</t>
        </is>
      </c>
      <c r="E12" s="11" t="inlineStr">
        <is>
          <t>Champion retention 95%+ target</t>
        </is>
      </c>
    </row>
    <row r="14">
      <c r="B14" s="40" t="inlineStr">
        <is>
          <t>TARGETS</t>
        </is>
      </c>
      <c r="C14" s="72" t="inlineStr">
        <is>
          <t>1,470 net new customers ⇒ +£4.4M</t>
        </is>
      </c>
      <c r="D14" s="72" t="inlineStr">
        <is>
          <t>Activation 23.6% → 35%</t>
        </is>
      </c>
      <c r="E14" s="72" t="inlineStr">
        <is>
          <t>Champion churn &lt; 5%</t>
        </is>
      </c>
    </row>
    <row r="16">
      <c r="B16" s="2" t="inlineStr">
        <is>
          <t>KPIs (tracked in Power BI Command Center):</t>
        </is>
      </c>
    </row>
    <row r="17">
      <c r="B17" s="7" t="inlineStr">
        <is>
          <t>1. k-factor (target ≥ 0.2)</t>
        </is>
      </c>
      <c r="C17" s="7" t="inlineStr">
        <is>
          <t>2. Activation rate (target 35%)</t>
        </is>
      </c>
      <c r="D17" s="7" t="inlineStr">
        <is>
          <t>3. M+12 retention (target 25%)</t>
        </is>
      </c>
    </row>
    <row r="18">
      <c r="B18" s="7" t="inlineStr">
        <is>
          <t>4. LTV/CAC ratio</t>
        </is>
      </c>
      <c r="C18" s="7" t="inlineStr">
        <is>
          <t>5. Champion segment size</t>
        </is>
      </c>
      <c r="D18" s="7" t="inlineStr">
        <is>
          <t>6. Net Revenue Retention</t>
        </is>
      </c>
    </row>
  </sheetData>
  <mergeCells count="3">
    <mergeCell ref="B2:I2"/>
    <mergeCell ref="B4:I4"/>
    <mergeCell ref="B16:E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18" customWidth="1" min="2" max="2"/>
    <col width="26" customWidth="1" min="3" max="3"/>
    <col width="36" customWidth="1" min="4" max="4"/>
    <col width="32" customWidth="1" min="5" max="5"/>
    <col width="30" customWidth="1" min="6" max="6"/>
  </cols>
  <sheetData>
    <row r="2" ht="28" customHeight="1">
      <c r="B2" s="1" t="inlineStr">
        <is>
          <t>POWER BI GROWTH COMMAND CENTER — DASHBOARD SPEC</t>
        </is>
      </c>
    </row>
    <row r="4">
      <c r="B4" s="7" t="inlineStr">
        <is>
          <t>Five-page Power BI report. Each page = a Pirate Metric stage. Linked via FactTransactions data model.</t>
        </is>
      </c>
    </row>
    <row r="6">
      <c r="B6" s="5" t="inlineStr">
        <is>
          <t>Page</t>
        </is>
      </c>
      <c r="C6" s="5" t="inlineStr">
        <is>
          <t>Theme</t>
        </is>
      </c>
      <c r="D6" s="5" t="inlineStr">
        <is>
          <t>Visuals</t>
        </is>
      </c>
      <c r="E6" s="5" t="inlineStr">
        <is>
          <t>DAX Measures Used</t>
        </is>
      </c>
      <c r="F6" s="5" t="inlineStr">
        <is>
          <t>Drill-through</t>
        </is>
      </c>
    </row>
    <row r="7" ht="50" customHeight="1">
      <c r="B7" s="73" t="inlineStr">
        <is>
          <t>1. Acquisition</t>
        </is>
      </c>
      <c r="C7" s="11" t="inlineStr">
        <is>
          <t>New customers by month</t>
        </is>
      </c>
      <c r="D7" s="11" t="inlineStr">
        <is>
          <t>Cohort signups bar chart, country map, channel donut</t>
        </is>
      </c>
      <c r="E7" s="11" t="inlineStr">
        <is>
          <t>[Total Customers], [New Customers], [CAC]</t>
        </is>
      </c>
      <c r="F7" s="11" t="inlineStr">
        <is>
          <t>Click month → cohort detail</t>
        </is>
      </c>
    </row>
    <row r="8" ht="50" customHeight="1">
      <c r="B8" s="73" t="inlineStr">
        <is>
          <t>2. Activation</t>
        </is>
      </c>
      <c r="C8" s="11" t="inlineStr">
        <is>
          <t>23.6% activation — the leak</t>
        </is>
      </c>
      <c r="D8" s="11" t="inlineStr">
        <is>
          <t>Funnel viz, days-to-2nd histogram, scorecard</t>
        </is>
      </c>
      <c r="E8" s="11" t="inlineStr">
        <is>
          <t>[Activation Rate], [Days to 2nd]</t>
        </is>
      </c>
      <c r="F8" s="11" t="inlineStr">
        <is>
          <t>Click stage → drop-off cohort</t>
        </is>
      </c>
    </row>
    <row r="9" ht="50" customHeight="1">
      <c r="B9" s="73" t="inlineStr">
        <is>
          <t>3. Retention</t>
        </is>
      </c>
      <c r="C9" s="11" t="inlineStr">
        <is>
          <t>Cohort heatmap</t>
        </is>
      </c>
      <c r="D9" s="11" t="inlineStr">
        <is>
          <t>Cohort matrix table, retention curves, NRR</t>
        </is>
      </c>
      <c r="E9" s="11" t="inlineStr">
        <is>
          <t>[M+1 Retention], [M+12 Retention], [NRR]</t>
        </is>
      </c>
      <c r="F9" s="11" t="inlineStr">
        <is>
          <t>Click cohort → customer list</t>
        </is>
      </c>
    </row>
    <row r="10" ht="50" customHeight="1">
      <c r="B10" s="73" t="inlineStr">
        <is>
          <t>4. Referral &amp; Revenue</t>
        </is>
      </c>
      <c r="C10" s="11" t="inlineStr">
        <is>
          <t>k-factor + Champions</t>
        </is>
      </c>
      <c r="D10" s="11" t="inlineStr">
        <is>
          <t>Champion KPI tiles, basket rule cards, k-factor gauge</t>
        </is>
      </c>
      <c r="E10" s="11" t="inlineStr">
        <is>
          <t>[k-factor], [LTV / CAC Ratio], [Champions Revenue %]</t>
        </is>
      </c>
      <c r="F10" s="11" t="inlineStr">
        <is>
          <t>Click segment → action playbook</t>
        </is>
      </c>
    </row>
    <row r="11" ht="50" customHeight="1">
      <c r="B11" s="73" t="inlineStr">
        <is>
          <t>5. EV Decision</t>
        </is>
      </c>
      <c r="C11" s="11" t="inlineStr">
        <is>
          <t>Pricing vs Referral arms</t>
        </is>
      </c>
      <c r="D11" s="11" t="inlineStr">
        <is>
          <t>Decision tree visual, EV bars, Nash matrix</t>
        </is>
      </c>
      <c r="E11" s="11" t="inlineStr">
        <is>
          <t>[Total Revenue], [Mean LTV]</t>
        </is>
      </c>
      <c r="F11" s="11" t="inlineStr">
        <is>
          <t>Click arm → assumptions panel</t>
        </is>
      </c>
    </row>
    <row r="13">
      <c r="B13" s="2" t="inlineStr">
        <is>
          <t>Filters (applied to all pages):</t>
        </is>
      </c>
    </row>
    <row r="14">
      <c r="B14" s="7" t="inlineStr">
        <is>
          <t>• Date range</t>
        </is>
      </c>
    </row>
    <row r="15">
      <c r="B15" s="7" t="inlineStr">
        <is>
          <t>• Country (UK / International)</t>
        </is>
      </c>
    </row>
    <row r="16">
      <c r="B16" s="7" t="inlineStr">
        <is>
          <t>• RFM Segment</t>
        </is>
      </c>
    </row>
    <row r="17">
      <c r="B17" s="7" t="inlineStr">
        <is>
          <t>• Cohort Month</t>
        </is>
      </c>
    </row>
    <row r="18">
      <c r="B18" s="7" t="inlineStr">
        <is>
          <t>• Product Category</t>
        </is>
      </c>
    </row>
    <row r="20">
      <c r="B20" s="2" t="inlineStr">
        <is>
          <t>Data Model:</t>
        </is>
      </c>
    </row>
    <row r="21">
      <c r="B21" s="7" t="inlineStr">
        <is>
          <t>• FactTransactions (Invoice, StockCode, CustomerID, Quantity, Price, Revenue, InvoiceDate)</t>
        </is>
      </c>
    </row>
    <row r="22">
      <c r="B22" s="7" t="inlineStr">
        <is>
          <t>• DimCustomer (CustomerID, Country, FirstPurchase, RFM_Segment)</t>
        </is>
      </c>
    </row>
    <row r="23">
      <c r="B23" s="7" t="inlineStr">
        <is>
          <t>• DimProduct (StockCode, Description, Category)</t>
        </is>
      </c>
    </row>
    <row r="24">
      <c r="B24" s="7" t="inlineStr">
        <is>
          <t>• DimDate (Date, Month, Year, Cohort_Month)</t>
        </is>
      </c>
    </row>
    <row r="25">
      <c r="B25" s="7" t="inlineStr">
        <is>
          <t>• DimCohort (Cohort_Month, Months_Since_First)</t>
        </is>
      </c>
    </row>
  </sheetData>
  <mergeCells count="9">
    <mergeCell ref="B4:F4"/>
    <mergeCell ref="B21:F21"/>
    <mergeCell ref="B24:F24"/>
    <mergeCell ref="B2:F2"/>
    <mergeCell ref="B20:F20"/>
    <mergeCell ref="B25:F25"/>
    <mergeCell ref="B23:F23"/>
    <mergeCell ref="B22:F22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2026-05-10T01:16:50Z</dcterms:created>
  <dcterms:modified xmlns:dcterms="http://purl.org/dc/terms/" xmlns:xsi="http://www.w3.org/2001/XMLSchema-instance" xsi:type="dcterms:W3CDTF">2026-05-10T01:16:50Z</dcterms:modified>
</cp:coreProperties>
</file>