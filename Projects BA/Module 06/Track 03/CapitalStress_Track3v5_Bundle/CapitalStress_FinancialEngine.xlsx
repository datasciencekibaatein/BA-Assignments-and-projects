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Inputs" sheetId="2" state="visible" r:id="rId2"/>
    <sheet xmlns:r="http://schemas.openxmlformats.org/officeDocument/2006/relationships" name="Peer_Calibration" sheetId="3" state="visible" r:id="rId3"/>
    <sheet xmlns:r="http://schemas.openxmlformats.org/officeDocument/2006/relationships" name="FRED_Snapshot" sheetId="4" state="visible" r:id="rId4"/>
    <sheet xmlns:r="http://schemas.openxmlformats.org/officeDocument/2006/relationships" name="Cost_of_Equity" sheetId="5" state="visible" r:id="rId5"/>
    <sheet xmlns:r="http://schemas.openxmlformats.org/officeDocument/2006/relationships" name="MM_Optimal" sheetId="6" state="visible" r:id="rId6"/>
    <sheet xmlns:r="http://schemas.openxmlformats.org/officeDocument/2006/relationships" name="Cash_Flow_10yr" sheetId="7" state="visible" r:id="rId7"/>
    <sheet xmlns:r="http://schemas.openxmlformats.org/officeDocument/2006/relationships" name="DuPont_DataTable" sheetId="8" state="visible" r:id="rId8"/>
    <sheet xmlns:r="http://schemas.openxmlformats.org/officeDocument/2006/relationships" name="Monte_Carlo" sheetId="9" state="visible" r:id="rId9"/>
    <sheet xmlns:r="http://schemas.openxmlformats.org/officeDocument/2006/relationships" name="Real_Option" sheetId="10" state="visible" r:id="rId10"/>
    <sheet xmlns:r="http://schemas.openxmlformats.org/officeDocument/2006/relationships" name="Decision_Summary" sheetId="11" state="visible" r:id="rId11"/>
  </sheets>
  <definedNames>
    <definedName name="Rf">Inputs!$C$7</definedName>
    <definedName name="BAA">Inputs!$C$8</definedName>
    <definedName name="AAA">Inputs!$C$9</definedName>
    <definedName name="CreditSpread">Inputs!$C$10</definedName>
    <definedName name="CPI_YoY">Inputs!$C$11</definedName>
    <definedName name="PPI_YoY">Inputs!$C$12</definedName>
    <definedName name="PeerDV">Inputs!$C$14</definedName>
    <definedName name="PeerAT">Inputs!$C$15</definedName>
    <definedName name="PeerNM">Inputs!$C$16</definedName>
    <definedName name="PeerEM">Inputs!$C$17</definedName>
    <definedName name="TaxRate">Inputs!$C$18</definedName>
    <definedName name="Beta">Inputs!$C$20</definedName>
    <definedName name="MRP">Inputs!$C$21</definedName>
    <definedName name="Beta_Inf">Inputs!$C$22</definedName>
    <definedName name="FP_Inf">Inputs!$C$23</definedName>
    <definedName name="Beta_Cr">Inputs!$C$24</definedName>
    <definedName name="FP_Cr">Inputs!$C$25</definedName>
    <definedName name="Capex">Inputs!$C$27</definedName>
    <definedName name="BaseRev">Inputs!$C$28</definedName>
    <definedName name="ProjLife">Inputs!$C$29</definedName>
    <definedName name="RevGrowth">Inputs!$C$30</definedName>
    <definedName name="ProjEM">Inputs!$C$31</definedName>
    <definedName name="DAPct">Inputs!$C$32</definedName>
    <definedName name="NWCPct">Inputs!$C$33</definedName>
    <definedName name="MaintCapex">Inputs!$C$34</definedName>
    <definedName name="TermG">Inputs!$C$35</definedName>
    <definedName name="OilVol">Inputs!$C$37</definedName>
    <definedName name="GARCH_Persist">Inputs!$C$38</definedName>
    <definedName name="OptS">Inputs!$C$40</definedName>
    <definedName name="OptK">Inputs!$C$41</definedName>
    <definedName name="OptT">Inputs!$C$42</definedName>
    <definedName name="Ke_Blend">Cost_of_Equity!$C$22</definedName>
    <definedName name="Ke_Unlev">MM_Optimal!$C$12</definedName>
    <definedName name="Opt_WACC">MM_Optimal!$G$31</definedName>
    <definedName name="Opt_DV">MM_Optimal!$G$32</definedName>
    <definedName name="Project_NPV">Cash_Flow_10yr!$C$21</definedName>
    <definedName name="Project_IRR">Cash_Flow_10yr!$C$20</definedName>
  </definedNames>
  <calcPr calcId="124519" fullCalcOnLoad="1"/>
</workbook>
</file>

<file path=xl/styles.xml><?xml version="1.0" encoding="utf-8"?>
<styleSheet xmlns="http://schemas.openxmlformats.org/spreadsheetml/2006/main">
  <numFmts count="8">
    <numFmt numFmtId="164" formatCode="0.000"/>
    <numFmt numFmtId="165" formatCode="0.0000"/>
    <numFmt numFmtId="166" formatCode="0.000&quot;%&quot;"/>
    <numFmt numFmtId="167" formatCode="0.00&quot;%&quot;"/>
    <numFmt numFmtId="168" formatCode="0.0%"/>
    <numFmt numFmtId="169" formatCode="#,##0.0"/>
    <numFmt numFmtId="170" formatCode="$#,##0.0,,&quot;M&quot;"/>
    <numFmt numFmtId="171" formatCode="$#,##0.0"/>
  </numFmts>
  <fonts count="10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1F4E78"/>
      <sz val="13"/>
    </font>
    <font>
      <b val="1"/>
      <color rgb="001F4E78"/>
    </font>
    <font>
      <name val="Calibri"/>
      <b val="1"/>
      <color rgb="00FFFFFF"/>
      <sz val="12"/>
    </font>
    <font>
      <name val="Calibri"/>
      <b val="1"/>
      <color rgb="000070C0"/>
      <sz val="11"/>
    </font>
    <font>
      <i val="1"/>
      <color rgb="00808080"/>
    </font>
    <font>
      <b val="1"/>
    </font>
    <font>
      <name val="Calibri"/>
      <color rgb="00008000"/>
      <sz val="11"/>
    </font>
    <font>
      <name val="Calibri"/>
      <color rgb="00000000"/>
      <sz val="11"/>
    </font>
  </fonts>
  <fills count="9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1F2"/>
      </patternFill>
    </fill>
    <fill>
      <patternFill patternType="solid">
        <fgColor rgb="00FFF2CC"/>
      </patternFill>
    </fill>
    <fill>
      <patternFill patternType="solid">
        <fgColor rgb="00FFE699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horizontal="left" vertical="center" wrapText="1"/>
    </xf>
    <xf numFmtId="0" fontId="2" fillId="3" borderId="0" pivotButton="0" quotePrefix="0" xfId="0"/>
    <xf numFmtId="0" fontId="4" fillId="2" borderId="0" applyAlignment="1" pivotButton="0" quotePrefix="0" xfId="0">
      <alignment horizontal="center" vertical="center" wrapText="1"/>
    </xf>
    <xf numFmtId="164" fontId="5" fillId="4" borderId="0" pivotButton="0" quotePrefix="0" xfId="0"/>
    <xf numFmtId="0" fontId="6" fillId="0" borderId="0" pivotButton="0" quotePrefix="0" xfId="0"/>
    <xf numFmtId="10" fontId="5" fillId="4" borderId="0" pivotButton="0" quotePrefix="0" xfId="0"/>
    <xf numFmtId="165" fontId="5" fillId="4" borderId="0" pivotButton="0" quotePrefix="0" xfId="0"/>
    <xf numFmtId="0" fontId="7" fillId="0" borderId="1" pivotButton="0" quotePrefix="0" xfId="0"/>
    <xf numFmtId="3" fontId="5" fillId="0" borderId="1" pivotButton="0" quotePrefix="0" xfId="0"/>
    <xf numFmtId="0" fontId="0" fillId="0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164" fontId="5" fillId="0" borderId="1" pivotButton="0" quotePrefix="0" xfId="0"/>
    <xf numFmtId="166" fontId="8" fillId="0" borderId="1" pivotButton="0" quotePrefix="0" xfId="0"/>
    <xf numFmtId="0" fontId="0" fillId="0" borderId="1" applyAlignment="1" pivotButton="0" quotePrefix="0" xfId="0">
      <alignment horizontal="left" vertical="center" wrapText="1"/>
    </xf>
    <xf numFmtId="166" fontId="8" fillId="0" borderId="0" pivotButton="0" quotePrefix="0" xfId="0"/>
    <xf numFmtId="0" fontId="8" fillId="0" borderId="0" pivotButton="0" quotePrefix="0" xfId="0"/>
    <xf numFmtId="167" fontId="8" fillId="0" borderId="0" pivotButton="0" quotePrefix="0" xfId="0"/>
    <xf numFmtId="166" fontId="7" fillId="5" borderId="0" pivotButton="0" quotePrefix="0" xfId="0"/>
    <xf numFmtId="0" fontId="8" fillId="0" borderId="1" pivotButton="0" quotePrefix="0" xfId="0"/>
    <xf numFmtId="167" fontId="8" fillId="0" borderId="1" pivotButton="0" quotePrefix="0" xfId="0"/>
    <xf numFmtId="167" fontId="9" fillId="0" borderId="1" pivotButton="0" quotePrefix="0" xfId="0"/>
    <xf numFmtId="167" fontId="9" fillId="0" borderId="0" pivotButton="0" quotePrefix="0" xfId="0"/>
    <xf numFmtId="164" fontId="8" fillId="0" borderId="0" pivotButton="0" quotePrefix="0" xfId="0"/>
    <xf numFmtId="164" fontId="9" fillId="0" borderId="0" pivotButton="0" quotePrefix="0" xfId="0"/>
    <xf numFmtId="9" fontId="5" fillId="0" borderId="1" pivotButton="0" quotePrefix="0" xfId="0"/>
    <xf numFmtId="2" fontId="9" fillId="0" borderId="1" pivotButton="0" quotePrefix="0" xfId="0"/>
    <xf numFmtId="166" fontId="9" fillId="0" borderId="1" pivotButton="0" quotePrefix="0" xfId="0"/>
    <xf numFmtId="0" fontId="6" fillId="6" borderId="1" pivotButton="0" quotePrefix="0" xfId="0"/>
    <xf numFmtId="0" fontId="6" fillId="7" borderId="1" pivotButton="0" quotePrefix="0" xfId="0"/>
    <xf numFmtId="0" fontId="6" fillId="8" borderId="1" pivotButton="0" quotePrefix="0" xfId="0"/>
    <xf numFmtId="0" fontId="2" fillId="5" borderId="0" pivotButton="0" quotePrefix="0" xfId="0"/>
    <xf numFmtId="168" fontId="7" fillId="5" borderId="0" pivotButton="0" quotePrefix="0" xfId="0"/>
    <xf numFmtId="0" fontId="4" fillId="2" borderId="0" pivotButton="0" quotePrefix="0" xfId="0"/>
    <xf numFmtId="2" fontId="5" fillId="0" borderId="0" pivotButton="0" quotePrefix="0" xfId="0"/>
    <xf numFmtId="0" fontId="7" fillId="0" borderId="0" pivotButton="0" quotePrefix="0" xfId="0"/>
    <xf numFmtId="169" fontId="0" fillId="0" borderId="0" pivotButton="0" quotePrefix="0" xfId="0"/>
    <xf numFmtId="169" fontId="9" fillId="0" borderId="0" pivotButton="0" quotePrefix="0" xfId="0"/>
    <xf numFmtId="169" fontId="7" fillId="0" borderId="0" pivotButton="0" quotePrefix="0" xfId="0"/>
    <xf numFmtId="169" fontId="5" fillId="0" borderId="0" pivotButton="0" quotePrefix="0" xfId="0"/>
    <xf numFmtId="169" fontId="8" fillId="0" borderId="0" pivotButton="0" quotePrefix="0" xfId="0"/>
    <xf numFmtId="169" fontId="9" fillId="5" borderId="0" pivotButton="0" quotePrefix="0" xfId="0"/>
    <xf numFmtId="0" fontId="7" fillId="5" borderId="0" pivotButton="0" quotePrefix="0" xfId="0"/>
    <xf numFmtId="169" fontId="7" fillId="5" borderId="0" pivotButton="0" quotePrefix="0" xfId="0"/>
    <xf numFmtId="10" fontId="7" fillId="6" borderId="0" pivotButton="0" quotePrefix="0" xfId="0"/>
    <xf numFmtId="171" fontId="7" fillId="6" borderId="0" pivotButton="0" quotePrefix="0" xfId="0"/>
    <xf numFmtId="3" fontId="5" fillId="0" borderId="0" pivotButton="0" quotePrefix="0" xfId="0"/>
    <xf numFmtId="168" fontId="4" fillId="2" borderId="0" applyAlignment="1" pivotButton="0" quotePrefix="0" xfId="0">
      <alignment horizontal="center" vertical="center" wrapText="1"/>
    </xf>
    <xf numFmtId="2" fontId="4" fillId="2" borderId="0" applyAlignment="1" pivotButton="0" quotePrefix="0" xfId="0">
      <alignment horizontal="center" vertical="center" wrapText="1"/>
    </xf>
    <xf numFmtId="0" fontId="0" fillId="0" borderId="1" pivotButton="0" quotePrefix="0" xfId="0"/>
    <xf numFmtId="2" fontId="5" fillId="0" borderId="1" pivotButton="0" quotePrefix="0" xfId="0"/>
    <xf numFmtId="169" fontId="5" fillId="0" borderId="1" pivotButton="0" quotePrefix="0" xfId="0"/>
    <xf numFmtId="10" fontId="7" fillId="5" borderId="0" pivotButton="0" quotePrefix="0" xfId="0"/>
    <xf numFmtId="10" fontId="7" fillId="8" borderId="0" pivotButton="0" quotePrefix="0" xfId="0"/>
    <xf numFmtId="1" fontId="8" fillId="0" borderId="0" pivotButton="0" quotePrefix="0" xfId="0"/>
    <xf numFmtId="10" fontId="8" fillId="0" borderId="0" pivotButton="0" quotePrefix="0" xfId="0"/>
    <xf numFmtId="165" fontId="9" fillId="0" borderId="0" pivotButton="0" quotePrefix="0" xfId="0"/>
    <xf numFmtId="171" fontId="7" fillId="5" borderId="0" pivotButton="0" quotePrefix="0" xfId="0"/>
    <xf numFmtId="171" fontId="9" fillId="0" borderId="0" pivotButton="0" quotePrefix="0" xfId="0"/>
    <xf numFmtId="168" fontId="7" fillId="5" borderId="1" pivotButton="0" quotePrefix="0" xfId="0"/>
    <xf numFmtId="166" fontId="7" fillId="5" borderId="1" pivotButton="0" quotePrefix="0" xfId="0"/>
    <xf numFmtId="10" fontId="7" fillId="5" borderId="1" pivotButton="0" quotePrefix="0" xfId="0"/>
    <xf numFmtId="171" fontId="7" fillId="5" borderId="1" pivotButton="0" quotePrefix="0" xfId="0"/>
    <xf numFmtId="167" fontId="7" fillId="5" borderId="1" pivotButton="0" quotePrefix="0" xfId="0"/>
    <xf numFmtId="0" fontId="7" fillId="5" borderId="1" pivotButton="0" quotePrefix="0" xfId="0"/>
    <xf numFmtId="0" fontId="0" fillId="5" borderId="1" applyAlignment="1" pivotButton="0" quotePrefix="0" xfId="0">
      <alignment horizontal="left" vertical="center" wrapText="1"/>
    </xf>
    <xf numFmtId="0" fontId="0" fillId="5" borderId="1" pivotButton="0" quotePrefix="0" xfId="0"/>
  </cellXfs>
  <cellStyles count="1">
    <cellStyle name="Normal" xfId="0" builtinId="0" hidden="0"/>
  </cellStyles>
  <dxfs count="3">
    <dxf>
      <fill>
        <patternFill patternType="solid">
          <fgColor rgb="00C6EFCE"/>
        </patternFill>
      </fill>
    </dxf>
    <dxf>
      <fill>
        <patternFill patternType="solid">
          <fgColor rgb="00FFEB9C"/>
        </patternFill>
      </fill>
    </dxf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H17"/>
  <sheetViews>
    <sheetView workbookViewId="0">
      <selection activeCell="A1" sqref="A1"/>
    </sheetView>
  </sheetViews>
  <sheetFormatPr baseColWidth="8" defaultRowHeight="15"/>
  <cols>
    <col width="2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2" ht="32" customHeight="1">
      <c r="B2" s="1" t="inlineStr">
        <is>
          <t>CAPITAL STRUCTURE OPTIMIZATION — FINANCIAL ENGINE</t>
        </is>
      </c>
    </row>
    <row r="4">
      <c r="B4" s="2" t="inlineStr">
        <is>
          <t>Track 3 v5 — Risk-Adjusted Valuation Audit</t>
        </is>
      </c>
    </row>
    <row r="6">
      <c r="B6" s="3" t="inlineStr">
        <is>
          <t>Project</t>
        </is>
      </c>
      <c r="C6" s="4" t="inlineStr">
        <is>
          <t>MetalForge Industries — $200M debt-funded manufacturing capacity expansion</t>
        </is>
      </c>
    </row>
    <row r="7">
      <c r="B7" s="3" t="inlineStr">
        <is>
          <t>Hero data</t>
        </is>
      </c>
      <c r="C7" s="4" t="inlineStr">
        <is>
          <t>FRED (DGS10/BAA/AAA/CPI/PPI) + 455 Industrials peer firms (2014-2018) + Brent crude (35yr)</t>
        </is>
      </c>
    </row>
    <row r="8">
      <c r="B8" s="3" t="inlineStr">
        <is>
          <t>Hero method</t>
        </is>
      </c>
      <c r="C8" s="4" t="inlineStr">
        <is>
          <t>MM (with taxes) + CAPM + 3-factor APT + GARCH(1,1) + 10K Monte Carlo + Black-Scholes real option + DuPont 2-way data table</t>
        </is>
      </c>
    </row>
    <row r="9">
      <c r="B9" s="3" t="inlineStr">
        <is>
          <t>Optimal D/V</t>
        </is>
      </c>
      <c r="C9" s="4" t="inlineStr">
        <is>
          <t>70% (vs peer median 42.8%)</t>
        </is>
      </c>
    </row>
    <row r="10">
      <c r="B10" s="3" t="inlineStr">
        <is>
          <t>Min WACC</t>
        </is>
      </c>
      <c r="C10" s="4" t="inlineStr">
        <is>
          <t>7.75%</t>
        </is>
      </c>
    </row>
    <row r="11">
      <c r="B11" s="3" t="inlineStr">
        <is>
          <t>Project IRR</t>
        </is>
      </c>
      <c r="C11" s="4" t="inlineStr">
        <is>
          <t>13.09%</t>
        </is>
      </c>
    </row>
    <row r="12">
      <c r="B12" s="3" t="inlineStr">
        <is>
          <t>Static NPV</t>
        </is>
      </c>
      <c r="C12" s="4" t="inlineStr">
        <is>
          <t>$107M</t>
        </is>
      </c>
    </row>
    <row r="13">
      <c r="B13" s="3" t="inlineStr">
        <is>
          <t>Real option value</t>
        </is>
      </c>
      <c r="C13" s="4" t="inlineStr">
        <is>
          <t>$92M (option to expand)</t>
        </is>
      </c>
    </row>
    <row r="14">
      <c r="B14" s="3" t="inlineStr">
        <is>
          <t>Total risk-adjusted value</t>
        </is>
      </c>
      <c r="C14" s="4" t="inlineStr">
        <is>
          <t>$199M</t>
        </is>
      </c>
    </row>
    <row r="15">
      <c r="B15" s="3" t="inlineStr">
        <is>
          <t>P(IRR &lt; WACC) | 10K sims</t>
        </is>
      </c>
      <c r="C15" s="4" t="inlineStr">
        <is>
          <t>11.4%</t>
        </is>
      </c>
    </row>
    <row r="16">
      <c r="B16" s="3" t="inlineStr">
        <is>
          <t>Sheets</t>
        </is>
      </c>
      <c r="C16" s="4" t="inlineStr">
        <is>
          <t>Cover, Inputs, Peer_Calibration, FRED_Snapshot, Cost_of_Equity, MM_Optimal, Cash_Flow_10yr, DuPont_DataTable, Monte_Carlo, Real_Option, Decision_Summary</t>
        </is>
      </c>
    </row>
    <row r="17">
      <c r="B17" s="3" t="inlineStr">
        <is>
          <t>Differentiation vs prior tracks</t>
        </is>
      </c>
      <c r="C17" s="4" t="inlineStr">
        <is>
          <t>v3 used synthetic; v5 uses 455 REAL peers + APT (multi-factor) + DuPont 2-way DT (no prior track)</t>
        </is>
      </c>
    </row>
  </sheetData>
  <mergeCells count="14">
    <mergeCell ref="C11:H11"/>
    <mergeCell ref="C6:H6"/>
    <mergeCell ref="C10:H10"/>
    <mergeCell ref="C16:H16"/>
    <mergeCell ref="C14:H14"/>
    <mergeCell ref="B4:H4"/>
    <mergeCell ref="C13:H13"/>
    <mergeCell ref="C9:H9"/>
    <mergeCell ref="B2:H2"/>
    <mergeCell ref="C8:H8"/>
    <mergeCell ref="C17:H17"/>
    <mergeCell ref="C12:H12"/>
    <mergeCell ref="C7:H7"/>
    <mergeCell ref="C15:H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E42"/>
  <sheetViews>
    <sheetView workbookViewId="0">
      <selection activeCell="A1" sqref="A1"/>
    </sheetView>
  </sheetViews>
  <sheetFormatPr baseColWidth="8" defaultRowHeight="15"/>
  <cols>
    <col width="42" customWidth="1" min="2" max="2"/>
    <col width="14" customWidth="1" min="3" max="3"/>
    <col width="18" customWidth="1" min="4" max="4"/>
  </cols>
  <sheetData>
    <row r="2" ht="28" customHeight="1">
      <c r="B2" s="1" t="inlineStr">
        <is>
          <t>INPUT ASSUMPTIONS — yellow = input, blue text = active</t>
        </is>
      </c>
    </row>
    <row r="4">
      <c r="B4" s="5" t="inlineStr">
        <is>
          <t>FRED parameters (live values)</t>
        </is>
      </c>
    </row>
    <row r="5">
      <c r="B5" s="6" t="inlineStr">
        <is>
          <t>Parameter</t>
        </is>
      </c>
      <c r="C5" s="6" t="inlineStr">
        <is>
          <t>Value</t>
        </is>
      </c>
      <c r="D5" s="6" t="inlineStr">
        <is>
          <t>Defined name</t>
        </is>
      </c>
    </row>
    <row r="6">
      <c r="B6" s="5">
        <f>== FRED ===</f>
        <v/>
      </c>
    </row>
    <row r="7">
      <c r="B7" t="inlineStr">
        <is>
          <t>Risk-free rate (DGS10 1yr avg, %)</t>
        </is>
      </c>
      <c r="C7" s="7" t="n">
        <v>4.229</v>
      </c>
      <c r="D7" s="8" t="inlineStr">
        <is>
          <t>Rf</t>
        </is>
      </c>
    </row>
    <row r="8">
      <c r="B8" t="inlineStr">
        <is>
          <t>BAA corporate yield (%)</t>
        </is>
      </c>
      <c r="C8" s="7" t="n">
        <v>6.03</v>
      </c>
      <c r="D8" s="8" t="inlineStr">
        <is>
          <t>BAA</t>
        </is>
      </c>
    </row>
    <row r="9">
      <c r="B9" t="inlineStr">
        <is>
          <t>AAA corporate yield (%)</t>
        </is>
      </c>
      <c r="C9" s="7" t="n">
        <v>5.42</v>
      </c>
      <c r="D9" s="8" t="inlineStr">
        <is>
          <t>AAA</t>
        </is>
      </c>
    </row>
    <row r="10">
      <c r="B10" t="inlineStr">
        <is>
          <t>AAA-BAA credit spread (%)</t>
        </is>
      </c>
      <c r="C10" s="9" t="n">
        <v>0.61</v>
      </c>
      <c r="D10" s="8" t="inlineStr">
        <is>
          <t>CreditSpread</t>
        </is>
      </c>
    </row>
    <row r="11">
      <c r="B11" t="inlineStr">
        <is>
          <t>CPI YoY inflation (%)</t>
        </is>
      </c>
      <c r="C11" s="7" t="n">
        <v>3.286</v>
      </c>
      <c r="D11" s="8" t="inlineStr">
        <is>
          <t>CPI_YoY</t>
        </is>
      </c>
    </row>
    <row r="12">
      <c r="B12" t="inlineStr">
        <is>
          <t>PPI YoY raw materials (%)</t>
        </is>
      </c>
      <c r="C12" s="7" t="n">
        <v>6.025</v>
      </c>
      <c r="D12" s="8" t="inlineStr">
        <is>
          <t>PPI_YoY</t>
        </is>
      </c>
    </row>
    <row r="13">
      <c r="B13" s="5">
        <f>== PEER CALIBRATION (455 Industrials) ===</f>
        <v/>
      </c>
    </row>
    <row r="14">
      <c r="B14" t="inlineStr">
        <is>
          <t>Peer median D/V ratio</t>
        </is>
      </c>
      <c r="C14" s="10" t="n">
        <v>0.428</v>
      </c>
      <c r="D14" s="8" t="inlineStr">
        <is>
          <t>PeerDV</t>
        </is>
      </c>
    </row>
    <row r="15">
      <c r="B15" t="inlineStr">
        <is>
          <t>Peer median Asset Turnover</t>
        </is>
      </c>
      <c r="C15" s="10" t="n">
        <v>0.837</v>
      </c>
      <c r="D15" s="8" t="inlineStr">
        <is>
          <t>PeerAT</t>
        </is>
      </c>
    </row>
    <row r="16">
      <c r="B16" t="inlineStr">
        <is>
          <t>Peer median Net Margin</t>
        </is>
      </c>
      <c r="C16" s="10" t="n">
        <v>0.049</v>
      </c>
      <c r="D16" s="8" t="inlineStr">
        <is>
          <t>PeerNM</t>
        </is>
      </c>
    </row>
    <row r="17">
      <c r="B17" t="inlineStr">
        <is>
          <t>Peer median EBITDA Margin</t>
        </is>
      </c>
      <c r="C17" s="10" t="n">
        <v>0.132</v>
      </c>
      <c r="D17" s="8" t="inlineStr">
        <is>
          <t>PeerEM</t>
        </is>
      </c>
    </row>
    <row r="18">
      <c r="B18" t="inlineStr">
        <is>
          <t>Peer median Tax Rate</t>
        </is>
      </c>
      <c r="C18" s="10" t="n">
        <v>0.227</v>
      </c>
      <c r="D18" s="8" t="inlineStr">
        <is>
          <t>TaxRate</t>
        </is>
      </c>
    </row>
    <row r="19">
      <c r="B19" s="5">
        <f>== EQUITY MODEL ===</f>
        <v/>
      </c>
    </row>
    <row r="20">
      <c r="B20" t="inlineStr">
        <is>
          <t>Beta (Industrials)</t>
        </is>
      </c>
      <c r="C20" s="10" t="n">
        <v>1.05</v>
      </c>
      <c r="D20" s="8" t="inlineStr">
        <is>
          <t>Beta</t>
        </is>
      </c>
    </row>
    <row r="21">
      <c r="B21" t="inlineStr">
        <is>
          <t>Market Risk Premium (%)</t>
        </is>
      </c>
      <c r="C21" s="7" t="n">
        <v>5.5</v>
      </c>
      <c r="D21" s="8" t="inlineStr">
        <is>
          <t>MRP</t>
        </is>
      </c>
    </row>
    <row r="22">
      <c r="B22" t="inlineStr">
        <is>
          <t>APT inflation factor β</t>
        </is>
      </c>
      <c r="C22" s="10" t="n">
        <v>0.4</v>
      </c>
      <c r="D22" s="8" t="inlineStr">
        <is>
          <t>Beta_Inf</t>
        </is>
      </c>
    </row>
    <row r="23">
      <c r="B23" t="inlineStr">
        <is>
          <t>APT inflation factor premium (%)</t>
        </is>
      </c>
      <c r="C23" s="7" t="n">
        <v>2.5</v>
      </c>
      <c r="D23" s="8" t="inlineStr">
        <is>
          <t>FP_Inf</t>
        </is>
      </c>
    </row>
    <row r="24">
      <c r="B24" t="inlineStr">
        <is>
          <t>APT credit factor β</t>
        </is>
      </c>
      <c r="C24" s="10" t="n">
        <v>0.55</v>
      </c>
      <c r="D24" s="8" t="inlineStr">
        <is>
          <t>Beta_Cr</t>
        </is>
      </c>
    </row>
    <row r="25">
      <c r="B25" t="inlineStr">
        <is>
          <t>APT credit factor premium (%)</t>
        </is>
      </c>
      <c r="C25" s="7" t="n">
        <v>2</v>
      </c>
      <c r="D25" s="8" t="inlineStr">
        <is>
          <t>FP_Cr</t>
        </is>
      </c>
    </row>
    <row r="26">
      <c r="B26" s="5">
        <f>== PROJECT ===</f>
        <v/>
      </c>
    </row>
    <row r="27">
      <c r="B27" t="inlineStr">
        <is>
          <t>Project Capex ($M)</t>
        </is>
      </c>
      <c r="C27" s="10" t="n">
        <v>200</v>
      </c>
      <c r="D27" s="8" t="inlineStr">
        <is>
          <t>Capex</t>
        </is>
      </c>
    </row>
    <row r="28">
      <c r="B28" t="inlineStr">
        <is>
          <t>Firm baseline revenue ($M)</t>
        </is>
      </c>
      <c r="C28" s="10" t="n">
        <v>1500</v>
      </c>
      <c r="D28" s="8" t="inlineStr">
        <is>
          <t>BaseRev</t>
        </is>
      </c>
    </row>
    <row r="29">
      <c r="B29" t="inlineStr">
        <is>
          <t>Project life (years)</t>
        </is>
      </c>
      <c r="C29" s="10" t="n">
        <v>10</v>
      </c>
      <c r="D29" s="8" t="inlineStr">
        <is>
          <t>ProjLife</t>
        </is>
      </c>
    </row>
    <row r="30">
      <c r="B30" t="inlineStr">
        <is>
          <t>Revenue growth (annual)</t>
        </is>
      </c>
      <c r="C30" s="9" t="n">
        <v>0.06</v>
      </c>
      <c r="D30" s="8" t="inlineStr">
        <is>
          <t>RevGrowth</t>
        </is>
      </c>
    </row>
    <row r="31">
      <c r="B31" t="inlineStr">
        <is>
          <t>Project EBITDA margin</t>
        </is>
      </c>
      <c r="C31" s="9" t="n">
        <v>0.132</v>
      </c>
      <c r="D31" s="8" t="inlineStr">
        <is>
          <t>ProjEM</t>
        </is>
      </c>
    </row>
    <row r="32">
      <c r="B32" t="inlineStr">
        <is>
          <t>D&amp;A as % revenue</t>
        </is>
      </c>
      <c r="C32" s="9" t="n">
        <v>0.05</v>
      </c>
      <c r="D32" s="8" t="inlineStr">
        <is>
          <t>DAPct</t>
        </is>
      </c>
    </row>
    <row r="33">
      <c r="B33" t="inlineStr">
        <is>
          <t>NWC as % revenue</t>
        </is>
      </c>
      <c r="C33" s="9" t="n">
        <v>0.12</v>
      </c>
      <c r="D33" s="8" t="inlineStr">
        <is>
          <t>NWCPct</t>
        </is>
      </c>
    </row>
    <row r="34">
      <c r="B34" t="inlineStr">
        <is>
          <t>Maintenance Capex as % revenue</t>
        </is>
      </c>
      <c r="C34" s="9" t="n">
        <v>0.03</v>
      </c>
      <c r="D34" s="8" t="inlineStr">
        <is>
          <t>MaintCapex</t>
        </is>
      </c>
    </row>
    <row r="35">
      <c r="B35" t="inlineStr">
        <is>
          <t>Terminal growth rate</t>
        </is>
      </c>
      <c r="C35" s="9" t="n">
        <v>0.025</v>
      </c>
      <c r="D35" s="8" t="inlineStr">
        <is>
          <t>TermG</t>
        </is>
      </c>
    </row>
    <row r="36">
      <c r="B36" s="5">
        <f>== GARCH ===</f>
        <v/>
      </c>
    </row>
    <row r="37">
      <c r="B37" t="inlineStr">
        <is>
          <t>GARCH long-run vol annualized (%)</t>
        </is>
      </c>
      <c r="C37" s="7" t="n">
        <v>52.72</v>
      </c>
      <c r="D37" s="8" t="inlineStr">
        <is>
          <t>OilVol</t>
        </is>
      </c>
    </row>
    <row r="38">
      <c r="B38" t="inlineStr">
        <is>
          <t>GARCH persistence (α+β)</t>
        </is>
      </c>
      <c r="C38" s="10" t="n">
        <v>0.995</v>
      </c>
      <c r="D38" s="8" t="inlineStr">
        <is>
          <t>GARCH_Persist</t>
        </is>
      </c>
    </row>
    <row r="39">
      <c r="B39" s="5">
        <f>== REAL OPTION (Black-Scholes) ===</f>
        <v/>
      </c>
    </row>
    <row r="40">
      <c r="B40" t="inlineStr">
        <is>
          <t>Option S — PV expansion CF ($M)</t>
        </is>
      </c>
      <c r="C40" s="10" t="n">
        <v>150</v>
      </c>
      <c r="D40" s="8" t="inlineStr">
        <is>
          <t>OptS</t>
        </is>
      </c>
    </row>
    <row r="41">
      <c r="B41" t="inlineStr">
        <is>
          <t>Option K — strike capex ($M)</t>
        </is>
      </c>
      <c r="C41" s="10" t="n">
        <v>100</v>
      </c>
      <c r="D41" s="8" t="inlineStr">
        <is>
          <t>OptK</t>
        </is>
      </c>
    </row>
    <row r="42">
      <c r="B42" t="inlineStr">
        <is>
          <t>Option T — years to expiry</t>
        </is>
      </c>
      <c r="C42" s="10" t="n">
        <v>5</v>
      </c>
      <c r="D42" s="8" t="inlineStr">
        <is>
          <t>OptT</t>
        </is>
      </c>
    </row>
  </sheetData>
  <mergeCells count="8">
    <mergeCell ref="B19:D19"/>
    <mergeCell ref="B36:D36"/>
    <mergeCell ref="B4:E4"/>
    <mergeCell ref="B26:D26"/>
    <mergeCell ref="B13:D13"/>
    <mergeCell ref="B2:E2"/>
    <mergeCell ref="B39:D39"/>
    <mergeCell ref="B6:D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H17"/>
  <sheetViews>
    <sheetView workbookViewId="0">
      <selection activeCell="A1" sqref="A1"/>
    </sheetView>
  </sheetViews>
  <sheetFormatPr baseColWidth="8" defaultRowHeight="15"/>
  <cols>
    <col width="22" customWidth="1" min="2" max="2"/>
    <col width="12" customWidth="1" min="3" max="3"/>
    <col width="12" customWidth="1" min="4" max="4"/>
    <col width="11" customWidth="1" min="5" max="5"/>
    <col width="11" customWidth="1" min="6" max="6"/>
    <col width="11" customWidth="1" min="7" max="7"/>
    <col width="38" customWidth="1" min="8" max="8"/>
  </cols>
  <sheetData>
    <row r="2" ht="28" customHeight="1">
      <c r="B2" s="1" t="inlineStr">
        <is>
          <t>PEER CALIBRATION — 455 Industrials Firms</t>
        </is>
      </c>
    </row>
    <row r="4">
      <c r="B4" s="8" t="inlineStr">
        <is>
          <t>Hero firm "MetalForge Industries" calibrated against median of 455 Industrials peers (Rev &gt; $100M, +ve equity, 2018 filings)</t>
        </is>
      </c>
    </row>
    <row r="6">
      <c r="B6" s="6" t="inlineStr">
        <is>
          <t>Metric</t>
        </is>
      </c>
      <c r="C6" s="6" t="inlineStr">
        <is>
          <t>Peer Median</t>
        </is>
      </c>
      <c r="D6" s="6" t="inlineStr">
        <is>
          <t>Hero Firm</t>
        </is>
      </c>
      <c r="E6" s="6" t="inlineStr">
        <is>
          <t>Variance</t>
        </is>
      </c>
      <c r="F6" s="6" t="inlineStr">
        <is>
          <t>Decile P10</t>
        </is>
      </c>
      <c r="G6" s="6" t="inlineStr">
        <is>
          <t>Decile P90</t>
        </is>
      </c>
      <c r="H6" s="6" t="inlineStr">
        <is>
          <t>Notes</t>
        </is>
      </c>
    </row>
    <row r="7">
      <c r="B7" s="11" t="inlineStr">
        <is>
          <t>Revenue ($M)</t>
        </is>
      </c>
      <c r="C7" s="12" t="n">
        <v>1850</v>
      </c>
      <c r="D7" s="12" t="n">
        <v>1500</v>
      </c>
      <c r="E7" s="13" t="inlineStr">
        <is>
          <t>-19%</t>
        </is>
      </c>
      <c r="F7" s="14" t="n">
        <v>500</v>
      </c>
      <c r="G7" s="14" t="n">
        <v>8000</v>
      </c>
      <c r="H7" s="15" t="inlineStr">
        <is>
          <t>Hero firm: lower-quartile mid-cap mfg</t>
        </is>
      </c>
    </row>
    <row r="8">
      <c r="B8" s="11" t="inlineStr">
        <is>
          <t>Total assets ($M)</t>
        </is>
      </c>
      <c r="C8" s="12" t="n">
        <v>2210</v>
      </c>
      <c r="D8" s="12" t="n">
        <v>1800</v>
      </c>
      <c r="E8" s="13" t="inlineStr">
        <is>
          <t>-19%</t>
        </is>
      </c>
      <c r="F8" s="14" t="n">
        <v>650</v>
      </c>
      <c r="G8" s="14" t="n">
        <v>11000</v>
      </c>
      <c r="H8" s="15" t="inlineStr">
        <is>
          <t>Reflects $1.5B revenue scaled by AT</t>
        </is>
      </c>
    </row>
    <row r="9">
      <c r="B9" s="11" t="inlineStr">
        <is>
          <t>D/V ratio</t>
        </is>
      </c>
      <c r="C9" s="16" t="n">
        <v>0.428</v>
      </c>
      <c r="D9" s="16" t="n">
        <v>0.428</v>
      </c>
      <c r="E9" s="13" t="inlineStr">
        <is>
          <t>0%</t>
        </is>
      </c>
      <c r="F9" s="16" t="n">
        <v>0.1</v>
      </c>
      <c r="G9" s="16" t="n">
        <v>0.78</v>
      </c>
      <c r="H9" s="15" t="inlineStr">
        <is>
          <t>Hero firm starts at peer median</t>
        </is>
      </c>
    </row>
    <row r="10">
      <c r="B10" s="11" t="inlineStr">
        <is>
          <t>Asset Turnover</t>
        </is>
      </c>
      <c r="C10" s="16" t="n">
        <v>0.837</v>
      </c>
      <c r="D10" s="16" t="n">
        <v>0.85</v>
      </c>
      <c r="E10" s="13" t="inlineStr">
        <is>
          <t>+2%</t>
        </is>
      </c>
      <c r="F10" s="16" t="n">
        <v>0.42</v>
      </c>
      <c r="G10" s="16" t="n">
        <v>1.65</v>
      </c>
      <c r="H10" s="15" t="inlineStr">
        <is>
          <t>Slightly above median</t>
        </is>
      </c>
    </row>
    <row r="11">
      <c r="B11" s="11" t="inlineStr">
        <is>
          <t>Net Margin</t>
        </is>
      </c>
      <c r="C11" s="16" t="n">
        <v>0.049</v>
      </c>
      <c r="D11" s="16" t="n">
        <v>0.05</v>
      </c>
      <c r="E11" s="13" t="inlineStr">
        <is>
          <t>+2%</t>
        </is>
      </c>
      <c r="F11" s="16" t="n">
        <v>-0.02</v>
      </c>
      <c r="G11" s="16" t="n">
        <v>0.18</v>
      </c>
      <c r="H11" s="15" t="inlineStr">
        <is>
          <t>At median</t>
        </is>
      </c>
    </row>
    <row r="12">
      <c r="B12" s="11" t="inlineStr">
        <is>
          <t>EBITDA Margin</t>
        </is>
      </c>
      <c r="C12" s="16" t="n">
        <v>0.132</v>
      </c>
      <c r="D12" s="16" t="n">
        <v>0.132</v>
      </c>
      <c r="E12" s="13" t="inlineStr">
        <is>
          <t>0%</t>
        </is>
      </c>
      <c r="F12" s="16" t="n">
        <v>0.05</v>
      </c>
      <c r="G12" s="16" t="n">
        <v>0.32</v>
      </c>
      <c r="H12" s="15" t="inlineStr">
        <is>
          <t>At median</t>
        </is>
      </c>
    </row>
    <row r="13">
      <c r="B13" s="11" t="inlineStr">
        <is>
          <t>Tax Rate</t>
        </is>
      </c>
      <c r="C13" s="16" t="n">
        <v>0.227</v>
      </c>
      <c r="D13" s="16" t="n">
        <v>0.227</v>
      </c>
      <c r="E13" s="13" t="inlineStr">
        <is>
          <t>0%</t>
        </is>
      </c>
      <c r="F13" s="16" t="n">
        <v>0.05</v>
      </c>
      <c r="G13" s="16" t="n">
        <v>0.45</v>
      </c>
      <c r="H13" s="15" t="inlineStr">
        <is>
          <t>Post-TCJA effective rate</t>
        </is>
      </c>
    </row>
    <row r="14">
      <c r="B14" s="11" t="inlineStr">
        <is>
          <t>Capex / Revenue</t>
        </is>
      </c>
      <c r="C14" s="16" t="n">
        <v>0.029</v>
      </c>
      <c r="D14" s="16" t="n">
        <v>0.03</v>
      </c>
      <c r="E14" s="13" t="inlineStr">
        <is>
          <t>+3%</t>
        </is>
      </c>
      <c r="F14" s="16" t="n">
        <v>0.005</v>
      </c>
      <c r="G14" s="16" t="n">
        <v>0.12</v>
      </c>
      <c r="H14" s="15" t="inlineStr">
        <is>
          <t>Standard mfg reinvestment</t>
        </is>
      </c>
    </row>
    <row r="15">
      <c r="B15" s="11" t="inlineStr">
        <is>
          <t>Interest Coverage</t>
        </is>
      </c>
      <c r="C15" s="12" t="n">
        <v>8.5</v>
      </c>
      <c r="D15" s="12" t="n">
        <v>6.2</v>
      </c>
      <c r="E15" s="13" t="inlineStr">
        <is>
          <t>-27%</t>
        </is>
      </c>
      <c r="F15" s="14" t="n">
        <v>1.5</v>
      </c>
      <c r="G15" s="14" t="n">
        <v>35</v>
      </c>
      <c r="H15" s="15" t="inlineStr">
        <is>
          <t>Hero firm = more leveraged</t>
        </is>
      </c>
    </row>
    <row r="17">
      <c r="B17" s="2" t="inlineStr">
        <is>
          <t>Source: 2018 US Filings dataset, Industrials sector, n=455 (cleaned)</t>
        </is>
      </c>
    </row>
  </sheetData>
  <mergeCells count="3">
    <mergeCell ref="B2:G2"/>
    <mergeCell ref="B4:G4"/>
    <mergeCell ref="B17:H1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F12"/>
  <sheetViews>
    <sheetView workbookViewId="0">
      <selection activeCell="A1" sqref="A1"/>
    </sheetView>
  </sheetViews>
  <sheetFormatPr baseColWidth="8" defaultRowHeight="15"/>
  <cols>
    <col width="30" customWidth="1" min="2" max="2"/>
    <col width="12" customWidth="1" min="3" max="3"/>
    <col width="36" customWidth="1" min="4" max="4"/>
    <col width="12" customWidth="1" min="5" max="5"/>
    <col width="18" customWidth="1" min="6" max="6"/>
  </cols>
  <sheetData>
    <row r="2" ht="28" customHeight="1">
      <c r="B2" s="1" t="inlineStr">
        <is>
          <t>FRED MARKET SNAPSHOT</t>
        </is>
      </c>
    </row>
    <row r="4">
      <c r="B4" s="8" t="inlineStr">
        <is>
          <t>Live values from Federal Reserve Economic Data (St. Louis Fed). All inputs feed into MM, CAPM, APT, and Black-Scholes models.</t>
        </is>
      </c>
    </row>
    <row r="6">
      <c r="B6" s="6" t="inlineStr">
        <is>
          <t>Series</t>
        </is>
      </c>
      <c r="C6" s="6" t="inlineStr">
        <is>
          <t>Latest</t>
        </is>
      </c>
      <c r="D6" s="6" t="inlineStr">
        <is>
          <t>Use in this model</t>
        </is>
      </c>
      <c r="E6" s="6" t="inlineStr">
        <is>
          <t>FRED ID</t>
        </is>
      </c>
      <c r="F6" s="6" t="inlineStr">
        <is>
          <t>Source</t>
        </is>
      </c>
    </row>
    <row r="7">
      <c r="B7" s="11" t="inlineStr">
        <is>
          <t>10-Year Treasury rate (1yr avg)</t>
        </is>
      </c>
      <c r="C7" s="17">
        <f>Rf</f>
        <v/>
      </c>
      <c r="D7" s="18" t="inlineStr">
        <is>
          <t>Risk-free rate for CAPM, APT, Black-Scholes</t>
        </is>
      </c>
      <c r="E7" s="15" t="inlineStr">
        <is>
          <t>DGS10</t>
        </is>
      </c>
      <c r="F7" s="15" t="inlineStr">
        <is>
          <t>Federal Reserve</t>
        </is>
      </c>
    </row>
    <row r="8">
      <c r="B8" s="11" t="inlineStr">
        <is>
          <t>BAA corporate bond yield</t>
        </is>
      </c>
      <c r="C8" s="17">
        <f>BAA</f>
        <v/>
      </c>
      <c r="D8" s="18" t="inlineStr">
        <is>
          <t>Pre-tax cost of debt benchmark</t>
        </is>
      </c>
      <c r="E8" s="15" t="inlineStr">
        <is>
          <t>BAA</t>
        </is>
      </c>
      <c r="F8" s="15" t="inlineStr">
        <is>
          <t>Moody's via FRED</t>
        </is>
      </c>
    </row>
    <row r="9">
      <c r="B9" s="11" t="inlineStr">
        <is>
          <t>AAA corporate bond yield</t>
        </is>
      </c>
      <c r="C9" s="17">
        <f>AAA</f>
        <v/>
      </c>
      <c r="D9" s="18" t="inlineStr">
        <is>
          <t>Top-grade benchmark for credit spread</t>
        </is>
      </c>
      <c r="E9" s="15" t="inlineStr">
        <is>
          <t>AAA</t>
        </is>
      </c>
      <c r="F9" s="15" t="inlineStr">
        <is>
          <t>Moody's via FRED</t>
        </is>
      </c>
    </row>
    <row r="10">
      <c r="B10" s="11" t="inlineStr">
        <is>
          <t>AAA-BAA credit spread</t>
        </is>
      </c>
      <c r="C10" s="17">
        <f>CreditSpread</f>
        <v/>
      </c>
      <c r="D10" s="18" t="inlineStr">
        <is>
          <t>APT credit factor calibration</t>
        </is>
      </c>
      <c r="E10" s="15" t="inlineStr">
        <is>
          <t>BAA-AAA</t>
        </is>
      </c>
      <c r="F10" s="15" t="inlineStr">
        <is>
          <t>Derived</t>
        </is>
      </c>
    </row>
    <row r="11">
      <c r="B11" s="11" t="inlineStr">
        <is>
          <t>CPI inflation YoY</t>
        </is>
      </c>
      <c r="C11" s="17">
        <f>CPI_YoY</f>
        <v/>
      </c>
      <c r="D11" s="18" t="inlineStr">
        <is>
          <t>Real-rate calculation, inflation factor</t>
        </is>
      </c>
      <c r="E11" s="15" t="inlineStr">
        <is>
          <t>CPIAUCSL</t>
        </is>
      </c>
      <c r="F11" s="15" t="inlineStr">
        <is>
          <t>BLS via FRED</t>
        </is>
      </c>
    </row>
    <row r="12">
      <c r="B12" s="11" t="inlineStr">
        <is>
          <t>PPI raw materials YoY</t>
        </is>
      </c>
      <c r="C12" s="17">
        <f>PPI_YoY</f>
        <v/>
      </c>
      <c r="D12" s="18" t="inlineStr">
        <is>
          <t>Manufacturing input cost inflation</t>
        </is>
      </c>
      <c r="E12" s="15" t="inlineStr">
        <is>
          <t>PPIACO</t>
        </is>
      </c>
      <c r="F12" s="15" t="inlineStr">
        <is>
          <t>BLS via FRED</t>
        </is>
      </c>
    </row>
  </sheetData>
  <mergeCells count="2">
    <mergeCell ref="B2:F2"/>
    <mergeCell ref="B4:F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F25"/>
  <sheetViews>
    <sheetView workbookViewId="0">
      <selection activeCell="A1" sqref="A1"/>
    </sheetView>
  </sheetViews>
  <sheetFormatPr baseColWidth="8" defaultRowHeight="15"/>
  <cols>
    <col width="38" customWidth="1" min="2" max="2"/>
    <col width="14" customWidth="1" min="3" max="3"/>
    <col width="14" customWidth="1" min="4" max="4"/>
    <col width="14" customWidth="1" min="5" max="5"/>
    <col width="36" customWidth="1" min="6" max="6"/>
  </cols>
  <sheetData>
    <row r="2" ht="28" customHeight="1">
      <c r="B2" s="1" t="inlineStr">
        <is>
          <t>COST OF EQUITY: CAPM + 3-Factor APT</t>
        </is>
      </c>
    </row>
    <row r="4">
      <c r="B4" s="5" t="inlineStr">
        <is>
          <t>CAPM (single factor)</t>
        </is>
      </c>
    </row>
    <row r="5">
      <c r="B5" t="inlineStr">
        <is>
          <t>Risk-free rate (Rf)</t>
        </is>
      </c>
      <c r="C5" s="19">
        <f>Rf</f>
        <v/>
      </c>
    </row>
    <row r="6">
      <c r="B6" t="inlineStr">
        <is>
          <t>Beta (Industrials)</t>
        </is>
      </c>
      <c r="C6" s="20">
        <f>Beta</f>
        <v/>
      </c>
    </row>
    <row r="7">
      <c r="B7" t="inlineStr">
        <is>
          <t>Market Risk Premium</t>
        </is>
      </c>
      <c r="C7" s="21">
        <f>MRP</f>
        <v/>
      </c>
    </row>
    <row r="8">
      <c r="B8" t="inlineStr">
        <is>
          <t>Ke (CAPM) = Rf + β × MRP</t>
        </is>
      </c>
      <c r="C8" s="22">
        <f>Rf + Beta * MRP</f>
        <v/>
      </c>
    </row>
    <row r="11">
      <c r="B11" s="5" t="inlineStr">
        <is>
          <t>APT (3-factor)</t>
        </is>
      </c>
    </row>
    <row r="12">
      <c r="B12" s="6" t="inlineStr">
        <is>
          <t>Factor</t>
        </is>
      </c>
      <c r="C12" s="6" t="inlineStr">
        <is>
          <t>β</t>
        </is>
      </c>
      <c r="D12" s="6" t="inlineStr">
        <is>
          <t>Risk Premium</t>
        </is>
      </c>
      <c r="E12" s="6" t="inlineStr">
        <is>
          <t>Contribution</t>
        </is>
      </c>
      <c r="F12" s="6" t="inlineStr">
        <is>
          <t>Notes</t>
        </is>
      </c>
    </row>
    <row r="13">
      <c r="B13" s="11" t="inlineStr">
        <is>
          <t>Market</t>
        </is>
      </c>
      <c r="C13" s="23">
        <f>Beta</f>
        <v/>
      </c>
      <c r="D13" s="24">
        <f>MRP</f>
        <v/>
      </c>
      <c r="E13" s="25">
        <f>C13*D13</f>
        <v/>
      </c>
      <c r="F13" s="15" t="inlineStr">
        <is>
          <t>Same as CAPM</t>
        </is>
      </c>
    </row>
    <row r="14">
      <c r="B14" s="11" t="inlineStr">
        <is>
          <t>Inflation</t>
        </is>
      </c>
      <c r="C14" s="23">
        <f>Beta_Inf</f>
        <v/>
      </c>
      <c r="D14" s="24">
        <f>FP_Inf</f>
        <v/>
      </c>
      <c r="E14" s="25">
        <f>C14*D14</f>
        <v/>
      </c>
      <c r="F14" s="15" t="inlineStr">
        <is>
          <t>Mfg sensitive to commodity inflation</t>
        </is>
      </c>
    </row>
    <row r="15">
      <c r="B15" s="11" t="inlineStr">
        <is>
          <t>Credit</t>
        </is>
      </c>
      <c r="C15" s="23">
        <f>Beta_Cr</f>
        <v/>
      </c>
      <c r="D15" s="24">
        <f>FP_Cr</f>
        <v/>
      </c>
      <c r="E15" s="25">
        <f>C15*D15</f>
        <v/>
      </c>
      <c r="F15" s="15" t="inlineStr">
        <is>
          <t>Mfg sensitive to credit cycle</t>
        </is>
      </c>
    </row>
    <row r="16">
      <c r="B16" t="inlineStr">
        <is>
          <t>Risk-free rate</t>
        </is>
      </c>
      <c r="C16" s="19">
        <f>Rf</f>
        <v/>
      </c>
    </row>
    <row r="17">
      <c r="B17" t="inlineStr">
        <is>
          <t>Sum of factor contributions</t>
        </is>
      </c>
      <c r="E17" s="26">
        <f>SUM(E13:E15)</f>
        <v/>
      </c>
    </row>
    <row r="18">
      <c r="B18" t="inlineStr">
        <is>
          <t>Ke (APT) = Rf + Σ β × FP</t>
        </is>
      </c>
      <c r="C18" s="22">
        <f>Rf + Beta*MRP + Beta_Inf*FP_Inf + Beta_Cr*FP_Cr</f>
        <v/>
      </c>
    </row>
    <row r="21">
      <c r="B21" s="5" t="inlineStr">
        <is>
          <t>Blended Ke (CAPM-APT average)</t>
        </is>
      </c>
    </row>
    <row r="22">
      <c r="B22" t="inlineStr">
        <is>
          <t>Ke (Blended) = (Ke_CAPM + Ke_APT) / 2</t>
        </is>
      </c>
      <c r="C22" s="22">
        <f>(C8 + C18) / 2</f>
        <v/>
      </c>
    </row>
    <row r="24">
      <c r="B24" s="8" t="inlineStr">
        <is>
          <t>Why both? CAPM is the textbook default but uses only market beta. APT captures inflation/oil and credit factors that materially affect manufacturers.</t>
        </is>
      </c>
    </row>
    <row r="25">
      <c r="B25" s="8" t="inlineStr">
        <is>
          <t>Blending the two gives a more conservative, multi-factor anchored cost of equity.</t>
        </is>
      </c>
    </row>
  </sheetData>
  <mergeCells count="6">
    <mergeCell ref="B4:F4"/>
    <mergeCell ref="B21:F21"/>
    <mergeCell ref="B24:F24"/>
    <mergeCell ref="B2:F2"/>
    <mergeCell ref="B11:F11"/>
    <mergeCell ref="B25:F2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H36"/>
  <sheetViews>
    <sheetView workbookViewId="0">
      <selection activeCell="A1" sqref="A1"/>
    </sheetView>
  </sheetViews>
  <sheetFormatPr baseColWidth="8" defaultRowHeight="15"/>
  <cols>
    <col width="22" customWidth="1" min="2" max="2"/>
    <col width="8" customWidth="1" min="3" max="3"/>
    <col width="8" customWidth="1" min="4" max="4"/>
    <col width="12" customWidth="1" min="5" max="5"/>
    <col width="12" customWidth="1" min="6" max="6"/>
    <col width="12" customWidth="1" min="7" max="7"/>
    <col width="10" customWidth="1" min="8" max="8"/>
    <col width="16" customWidth="1" min="9" max="9"/>
  </cols>
  <sheetData>
    <row r="2" ht="28" customHeight="1">
      <c r="B2" s="1" t="inlineStr">
        <is>
          <t>MODIGLIANI-MILLER (with taxes): Optimal Capital Structure</t>
        </is>
      </c>
    </row>
    <row r="4">
      <c r="B4" s="8" t="inlineStr">
        <is>
          <t>WACC = (1-D/V)·Ke_lev + (D/V)·Kd·(1-T). Cost of debt rises non-linearly past 40% leverage (financial distress)</t>
        </is>
      </c>
    </row>
    <row r="6">
      <c r="B6" s="5" t="inlineStr">
        <is>
          <t>Step 1: Unlever Ke (Hamada-style)</t>
        </is>
      </c>
    </row>
    <row r="7">
      <c r="B7" t="inlineStr">
        <is>
          <t>Ke (levered, peer)</t>
        </is>
      </c>
      <c r="C7" s="19">
        <f>Ke_Blend</f>
        <v/>
      </c>
    </row>
    <row r="8">
      <c r="B8" t="inlineStr">
        <is>
          <t>D/V (peer)</t>
        </is>
      </c>
      <c r="C8" s="27">
        <f>PeerDV</f>
        <v/>
      </c>
    </row>
    <row r="9">
      <c r="B9" t="inlineStr">
        <is>
          <t>D/E (peer)</t>
        </is>
      </c>
      <c r="C9" s="28">
        <f>C8/(1-C8)</f>
        <v/>
      </c>
    </row>
    <row r="10">
      <c r="B10" t="inlineStr">
        <is>
          <t>Pre-tax Kd</t>
        </is>
      </c>
      <c r="C10" s="19">
        <f>BAA</f>
        <v/>
      </c>
    </row>
    <row r="11">
      <c r="B11" t="inlineStr">
        <is>
          <t>Tax rate</t>
        </is>
      </c>
      <c r="C11" s="27">
        <f>TaxRate</f>
        <v/>
      </c>
    </row>
    <row r="12">
      <c r="B12" t="inlineStr">
        <is>
          <t>Ke (unlevered)</t>
        </is>
      </c>
      <c r="C12" s="22">
        <f>(C7 + C10*(1-C11)*C9)/(1+C9*(1-C11))</f>
        <v/>
      </c>
    </row>
    <row r="14">
      <c r="B14" s="5" t="inlineStr">
        <is>
          <t>Step 2: Re-lever and search optimal D/V</t>
        </is>
      </c>
    </row>
    <row r="15">
      <c r="B15" s="6" t="inlineStr">
        <is>
          <t>D/V</t>
        </is>
      </c>
      <c r="C15" s="6" t="inlineStr">
        <is>
          <t>D/E</t>
        </is>
      </c>
      <c r="D15" s="6" t="inlineStr">
        <is>
          <t>Kd (pre-tax)</t>
        </is>
      </c>
      <c r="E15" s="6" t="inlineStr">
        <is>
          <t>Kd × (1-T)</t>
        </is>
      </c>
      <c r="F15" s="6" t="inlineStr">
        <is>
          <t>Ke (levered)</t>
        </is>
      </c>
      <c r="G15" s="6" t="inlineStr">
        <is>
          <t>WACC</t>
        </is>
      </c>
      <c r="H15" s="6" t="inlineStr">
        <is>
          <t>Status</t>
        </is>
      </c>
    </row>
    <row r="16">
      <c r="B16" s="29" t="n">
        <v>0</v>
      </c>
      <c r="C16" s="30">
        <f>B16/(1-B16)</f>
        <v/>
      </c>
      <c r="D16" s="31">
        <f>BAA * (1 + 5 * MAX(0, B16-0.4)^2)</f>
        <v/>
      </c>
      <c r="E16" s="31">
        <f>D16 * (1-TaxRate)</f>
        <v/>
      </c>
      <c r="F16" s="31">
        <f>Ke_Unlev + (Ke_Unlev - D16) * C16 * (1-TaxRate)</f>
        <v/>
      </c>
      <c r="G16" s="31">
        <f>(1-B16)*F16 + B16*D16*(1-TaxRate)</f>
        <v/>
      </c>
      <c r="H16" s="32" t="inlineStr">
        <is>
          <t>Safe</t>
        </is>
      </c>
    </row>
    <row r="17">
      <c r="B17" s="29" t="n">
        <v>0.05</v>
      </c>
      <c r="C17" s="30">
        <f>B17/(1-B17)</f>
        <v/>
      </c>
      <c r="D17" s="31">
        <f>BAA * (1 + 5 * MAX(0, B17-0.4)^2)</f>
        <v/>
      </c>
      <c r="E17" s="31">
        <f>D17 * (1-TaxRate)</f>
        <v/>
      </c>
      <c r="F17" s="31">
        <f>Ke_Unlev + (Ke_Unlev - D17) * C17 * (1-TaxRate)</f>
        <v/>
      </c>
      <c r="G17" s="31">
        <f>(1-B17)*F17 + B17*D17*(1-TaxRate)</f>
        <v/>
      </c>
      <c r="H17" s="32" t="inlineStr">
        <is>
          <t>Safe</t>
        </is>
      </c>
    </row>
    <row r="18">
      <c r="B18" s="29" t="n">
        <v>0.1</v>
      </c>
      <c r="C18" s="30">
        <f>B18/(1-B18)</f>
        <v/>
      </c>
      <c r="D18" s="31">
        <f>BAA * (1 + 5 * MAX(0, B18-0.4)^2)</f>
        <v/>
      </c>
      <c r="E18" s="31">
        <f>D18 * (1-TaxRate)</f>
        <v/>
      </c>
      <c r="F18" s="31">
        <f>Ke_Unlev + (Ke_Unlev - D18) * C18 * (1-TaxRate)</f>
        <v/>
      </c>
      <c r="G18" s="31">
        <f>(1-B18)*F18 + B18*D18*(1-TaxRate)</f>
        <v/>
      </c>
      <c r="H18" s="32" t="inlineStr">
        <is>
          <t>Safe</t>
        </is>
      </c>
    </row>
    <row r="19">
      <c r="B19" s="29" t="n">
        <v>0.15</v>
      </c>
      <c r="C19" s="30">
        <f>B19/(1-B19)</f>
        <v/>
      </c>
      <c r="D19" s="31">
        <f>BAA * (1 + 5 * MAX(0, B19-0.4)^2)</f>
        <v/>
      </c>
      <c r="E19" s="31">
        <f>D19 * (1-TaxRate)</f>
        <v/>
      </c>
      <c r="F19" s="31">
        <f>Ke_Unlev + (Ke_Unlev - D19) * C19 * (1-TaxRate)</f>
        <v/>
      </c>
      <c r="G19" s="31">
        <f>(1-B19)*F19 + B19*D19*(1-TaxRate)</f>
        <v/>
      </c>
      <c r="H19" s="32" t="inlineStr">
        <is>
          <t>Safe</t>
        </is>
      </c>
    </row>
    <row r="20">
      <c r="B20" s="29" t="n">
        <v>0.2</v>
      </c>
      <c r="C20" s="30">
        <f>B20/(1-B20)</f>
        <v/>
      </c>
      <c r="D20" s="31">
        <f>BAA * (1 + 5 * MAX(0, B20-0.4)^2)</f>
        <v/>
      </c>
      <c r="E20" s="31">
        <f>D20 * (1-TaxRate)</f>
        <v/>
      </c>
      <c r="F20" s="31">
        <f>Ke_Unlev + (Ke_Unlev - D20) * C20 * (1-TaxRate)</f>
        <v/>
      </c>
      <c r="G20" s="31">
        <f>(1-B20)*F20 + B20*D20*(1-TaxRate)</f>
        <v/>
      </c>
      <c r="H20" s="32" t="inlineStr">
        <is>
          <t>Safe</t>
        </is>
      </c>
    </row>
    <row r="21">
      <c r="B21" s="29" t="n">
        <v>0.25</v>
      </c>
      <c r="C21" s="30">
        <f>B21/(1-B21)</f>
        <v/>
      </c>
      <c r="D21" s="31">
        <f>BAA * (1 + 5 * MAX(0, B21-0.4)^2)</f>
        <v/>
      </c>
      <c r="E21" s="31">
        <f>D21 * (1-TaxRate)</f>
        <v/>
      </c>
      <c r="F21" s="31">
        <f>Ke_Unlev + (Ke_Unlev - D21) * C21 * (1-TaxRate)</f>
        <v/>
      </c>
      <c r="G21" s="31">
        <f>(1-B21)*F21 + B21*D21*(1-TaxRate)</f>
        <v/>
      </c>
      <c r="H21" s="32" t="inlineStr">
        <is>
          <t>Safe</t>
        </is>
      </c>
    </row>
    <row r="22">
      <c r="B22" s="29" t="n">
        <v>0.3</v>
      </c>
      <c r="C22" s="30">
        <f>B22/(1-B22)</f>
        <v/>
      </c>
      <c r="D22" s="31">
        <f>BAA * (1 + 5 * MAX(0, B22-0.4)^2)</f>
        <v/>
      </c>
      <c r="E22" s="31">
        <f>D22 * (1-TaxRate)</f>
        <v/>
      </c>
      <c r="F22" s="31">
        <f>Ke_Unlev + (Ke_Unlev - D22) * C22 * (1-TaxRate)</f>
        <v/>
      </c>
      <c r="G22" s="31">
        <f>(1-B22)*F22 + B22*D22*(1-TaxRate)</f>
        <v/>
      </c>
      <c r="H22" s="32" t="inlineStr">
        <is>
          <t>Safe</t>
        </is>
      </c>
    </row>
    <row r="23">
      <c r="B23" s="29" t="n">
        <v>0.35</v>
      </c>
      <c r="C23" s="30">
        <f>B23/(1-B23)</f>
        <v/>
      </c>
      <c r="D23" s="31">
        <f>BAA * (1 + 5 * MAX(0, B23-0.4)^2)</f>
        <v/>
      </c>
      <c r="E23" s="31">
        <f>D23 * (1-TaxRate)</f>
        <v/>
      </c>
      <c r="F23" s="31">
        <f>Ke_Unlev + (Ke_Unlev - D23) * C23 * (1-TaxRate)</f>
        <v/>
      </c>
      <c r="G23" s="31">
        <f>(1-B23)*F23 + B23*D23*(1-TaxRate)</f>
        <v/>
      </c>
      <c r="H23" s="32" t="inlineStr">
        <is>
          <t>Safe</t>
        </is>
      </c>
    </row>
    <row r="24">
      <c r="B24" s="29" t="n">
        <v>0.4</v>
      </c>
      <c r="C24" s="30">
        <f>B24/(1-B24)</f>
        <v/>
      </c>
      <c r="D24" s="31">
        <f>BAA * (1 + 5 * MAX(0, B24-0.4)^2)</f>
        <v/>
      </c>
      <c r="E24" s="31">
        <f>D24 * (1-TaxRate)</f>
        <v/>
      </c>
      <c r="F24" s="31">
        <f>Ke_Unlev + (Ke_Unlev - D24) * C24 * (1-TaxRate)</f>
        <v/>
      </c>
      <c r="G24" s="31">
        <f>(1-B24)*F24 + B24*D24*(1-TaxRate)</f>
        <v/>
      </c>
      <c r="H24" s="33" t="inlineStr">
        <is>
          <t>Distress zone</t>
        </is>
      </c>
    </row>
    <row r="25">
      <c r="B25" s="29" t="n">
        <v>0.45</v>
      </c>
      <c r="C25" s="30">
        <f>B25/(1-B25)</f>
        <v/>
      </c>
      <c r="D25" s="31">
        <f>BAA * (1 + 5 * MAX(0, B25-0.4)^2)</f>
        <v/>
      </c>
      <c r="E25" s="31">
        <f>D25 * (1-TaxRate)</f>
        <v/>
      </c>
      <c r="F25" s="31">
        <f>Ke_Unlev + (Ke_Unlev - D25) * C25 * (1-TaxRate)</f>
        <v/>
      </c>
      <c r="G25" s="31">
        <f>(1-B25)*F25 + B25*D25*(1-TaxRate)</f>
        <v/>
      </c>
      <c r="H25" s="33" t="inlineStr">
        <is>
          <t>Distress zone</t>
        </is>
      </c>
    </row>
    <row r="26">
      <c r="B26" s="29" t="n">
        <v>0.5</v>
      </c>
      <c r="C26" s="30">
        <f>B26/(1-B26)</f>
        <v/>
      </c>
      <c r="D26" s="31">
        <f>BAA * (1 + 5 * MAX(0, B26-0.4)^2)</f>
        <v/>
      </c>
      <c r="E26" s="31">
        <f>D26 * (1-TaxRate)</f>
        <v/>
      </c>
      <c r="F26" s="31">
        <f>Ke_Unlev + (Ke_Unlev - D26) * C26 * (1-TaxRate)</f>
        <v/>
      </c>
      <c r="G26" s="31">
        <f>(1-B26)*F26 + B26*D26*(1-TaxRate)</f>
        <v/>
      </c>
      <c r="H26" s="34" t="inlineStr">
        <is>
          <t>Distress zone</t>
        </is>
      </c>
    </row>
    <row r="27">
      <c r="B27" s="29" t="n">
        <v>0.55</v>
      </c>
      <c r="C27" s="30">
        <f>B27/(1-B27)</f>
        <v/>
      </c>
      <c r="D27" s="31">
        <f>BAA * (1 + 5 * MAX(0, B27-0.4)^2)</f>
        <v/>
      </c>
      <c r="E27" s="31">
        <f>D27 * (1-TaxRate)</f>
        <v/>
      </c>
      <c r="F27" s="31">
        <f>Ke_Unlev + (Ke_Unlev - D27) * C27 * (1-TaxRate)</f>
        <v/>
      </c>
      <c r="G27" s="31">
        <f>(1-B27)*F27 + B27*D27*(1-TaxRate)</f>
        <v/>
      </c>
      <c r="H27" s="34" t="inlineStr">
        <is>
          <t>Distress zone</t>
        </is>
      </c>
    </row>
    <row r="28">
      <c r="B28" s="29" t="n">
        <v>0.6</v>
      </c>
      <c r="C28" s="30">
        <f>B28/(1-B28)</f>
        <v/>
      </c>
      <c r="D28" s="31">
        <f>BAA * (1 + 5 * MAX(0, B28-0.4)^2)</f>
        <v/>
      </c>
      <c r="E28" s="31">
        <f>D28 * (1-TaxRate)</f>
        <v/>
      </c>
      <c r="F28" s="31">
        <f>Ke_Unlev + (Ke_Unlev - D28) * C28 * (1-TaxRate)</f>
        <v/>
      </c>
      <c r="G28" s="31">
        <f>(1-B28)*F28 + B28*D28*(1-TaxRate)</f>
        <v/>
      </c>
      <c r="H28" s="34" t="inlineStr">
        <is>
          <t>Distress zone</t>
        </is>
      </c>
    </row>
    <row r="29">
      <c r="B29" s="29" t="n">
        <v>0.65</v>
      </c>
      <c r="C29" s="30">
        <f>B29/(1-B29)</f>
        <v/>
      </c>
      <c r="D29" s="31">
        <f>BAA * (1 + 5 * MAX(0, B29-0.4)^2)</f>
        <v/>
      </c>
      <c r="E29" s="31">
        <f>D29 * (1-TaxRate)</f>
        <v/>
      </c>
      <c r="F29" s="31">
        <f>Ke_Unlev + (Ke_Unlev - D29) * C29 * (1-TaxRate)</f>
        <v/>
      </c>
      <c r="G29" s="31">
        <f>(1-B29)*F29 + B29*D29*(1-TaxRate)</f>
        <v/>
      </c>
      <c r="H29" s="34" t="inlineStr">
        <is>
          <t>Distress zone</t>
        </is>
      </c>
    </row>
    <row r="30">
      <c r="B30" s="29" t="n">
        <v>0.7</v>
      </c>
      <c r="C30" s="30">
        <f>B30/(1-B30)</f>
        <v/>
      </c>
      <c r="D30" s="31">
        <f>BAA * (1 + 5 * MAX(0, B30-0.4)^2)</f>
        <v/>
      </c>
      <c r="E30" s="31">
        <f>D30 * (1-TaxRate)</f>
        <v/>
      </c>
      <c r="F30" s="31">
        <f>Ke_Unlev + (Ke_Unlev - D30) * C30 * (1-TaxRate)</f>
        <v/>
      </c>
      <c r="G30" s="31">
        <f>(1-B30)*F30 + B30*D30*(1-TaxRate)</f>
        <v/>
      </c>
      <c r="H30" s="34" t="inlineStr">
        <is>
          <t>Distress zone</t>
        </is>
      </c>
    </row>
    <row r="31">
      <c r="B31" s="35" t="inlineStr">
        <is>
          <t>Optimal D/V (MIN WACC)</t>
        </is>
      </c>
      <c r="G31" s="22">
        <f>MIN(G16:G30)</f>
        <v/>
      </c>
    </row>
    <row r="32">
      <c r="B32" s="2" t="inlineStr">
        <is>
          <t>Optimal D/V at MIN WACC</t>
        </is>
      </c>
      <c r="G32" s="36">
        <f>INDEX(B16:B30, MATCH(MIN(G16:G30), G16:G30, 0))</f>
        <v/>
      </c>
    </row>
    <row r="34">
      <c r="B34" s="35" t="inlineStr">
        <is>
          <t>HERO FINDING</t>
        </is>
      </c>
    </row>
    <row r="35">
      <c r="B35" s="8" t="inlineStr">
        <is>
          <t>Optimal D/V = 70% (peer median was 42.8%) — substantial leverage capacity given low industry distress costs</t>
        </is>
      </c>
    </row>
    <row r="36">
      <c r="B36" s="8" t="inlineStr">
        <is>
          <t>Min WACC = 7.75% — every 100bps below the peer-implied WACC adds ≈ $20M to project NPV</t>
        </is>
      </c>
    </row>
  </sheetData>
  <mergeCells count="6">
    <mergeCell ref="B36:H36"/>
    <mergeCell ref="B14:H14"/>
    <mergeCell ref="B35:H35"/>
    <mergeCell ref="B4:H4"/>
    <mergeCell ref="B6:H6"/>
    <mergeCell ref="B2:H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N25"/>
  <sheetViews>
    <sheetView workbookViewId="0">
      <selection activeCell="A1" sqref="A1"/>
    </sheetView>
  </sheetViews>
  <sheetFormatPr baseColWidth="8" defaultRowHeight="15"/>
  <cols>
    <col width="22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</cols>
  <sheetData>
    <row r="2" ht="28" customHeight="1">
      <c r="B2" s="1" t="inlineStr">
        <is>
          <t>10-YEAR PROJECT CASH FLOW (Indirect Method)</t>
        </is>
      </c>
    </row>
    <row r="4">
      <c r="B4" s="8" t="inlineStr">
        <is>
          <t>$200M debt-funded expansion. Revenue ramps 50/75/100% in years 1-3, then 6% annual growth. Terminal value at year 10 (Gordon growth).</t>
        </is>
      </c>
    </row>
    <row r="6">
      <c r="B6" s="37" t="inlineStr">
        <is>
          <t>Line item</t>
        </is>
      </c>
      <c r="C6" s="6" t="inlineStr">
        <is>
          <t>Y0</t>
        </is>
      </c>
      <c r="D6" s="6" t="inlineStr">
        <is>
          <t>Y1</t>
        </is>
      </c>
      <c r="E6" s="6" t="inlineStr">
        <is>
          <t>Y2</t>
        </is>
      </c>
      <c r="F6" s="6" t="inlineStr">
        <is>
          <t>Y3</t>
        </is>
      </c>
      <c r="G6" s="6" t="inlineStr">
        <is>
          <t>Y4</t>
        </is>
      </c>
      <c r="H6" s="6" t="inlineStr">
        <is>
          <t>Y5</t>
        </is>
      </c>
      <c r="I6" s="6" t="inlineStr">
        <is>
          <t>Y6</t>
        </is>
      </c>
      <c r="J6" s="6" t="inlineStr">
        <is>
          <t>Y7</t>
        </is>
      </c>
      <c r="K6" s="6" t="inlineStr">
        <is>
          <t>Y8</t>
        </is>
      </c>
      <c r="L6" s="6" t="inlineStr">
        <is>
          <t>Y9</t>
        </is>
      </c>
      <c r="M6" s="6" t="inlineStr">
        <is>
          <t>Y10</t>
        </is>
      </c>
      <c r="N6" s="6" t="inlineStr">
        <is>
          <t>Total</t>
        </is>
      </c>
    </row>
    <row r="7">
      <c r="B7" s="8" t="inlineStr">
        <is>
          <t>Ramp factor</t>
        </is>
      </c>
      <c r="C7" s="38" t="n">
        <v>0</v>
      </c>
      <c r="D7" s="38" t="n">
        <v>0.5</v>
      </c>
      <c r="E7" s="38" t="n">
        <v>0.75</v>
      </c>
      <c r="F7" s="38" t="n">
        <v>1</v>
      </c>
      <c r="G7" s="38" t="n">
        <v>1</v>
      </c>
      <c r="H7" s="38" t="n">
        <v>1</v>
      </c>
      <c r="I7" s="38" t="n">
        <v>1</v>
      </c>
      <c r="J7" s="38" t="n">
        <v>1</v>
      </c>
      <c r="K7" s="38" t="n">
        <v>1</v>
      </c>
      <c r="L7" s="38" t="n">
        <v>1</v>
      </c>
      <c r="M7" s="38" t="n">
        <v>1</v>
      </c>
    </row>
    <row r="8">
      <c r="B8" s="39" t="inlineStr">
        <is>
          <t>Revenue ($M)</t>
        </is>
      </c>
      <c r="C8" s="40" t="n">
        <v>0</v>
      </c>
      <c r="D8" s="41">
        <f>BaseRev * 0.12 * D7 * (1+RevGrowth)^(1-1)</f>
        <v/>
      </c>
      <c r="E8" s="41">
        <f>BaseRev * 0.12 * E7 * (1+RevGrowth)^(2-1)</f>
        <v/>
      </c>
      <c r="F8" s="41">
        <f>BaseRev * 0.12 * F7 * (1+RevGrowth)^(3-1)</f>
        <v/>
      </c>
      <c r="G8" s="41">
        <f>BaseRev * 0.12 * G7 * (1+RevGrowth)^(4-1)</f>
        <v/>
      </c>
      <c r="H8" s="41">
        <f>BaseRev * 0.12 * H7 * (1+RevGrowth)^(5-1)</f>
        <v/>
      </c>
      <c r="I8" s="41">
        <f>BaseRev * 0.12 * I7 * (1+RevGrowth)^(6-1)</f>
        <v/>
      </c>
      <c r="J8" s="41">
        <f>BaseRev * 0.12 * J7 * (1+RevGrowth)^(7-1)</f>
        <v/>
      </c>
      <c r="K8" s="41">
        <f>BaseRev * 0.12 * K7 * (1+RevGrowth)^(8-1)</f>
        <v/>
      </c>
      <c r="L8" s="41">
        <f>BaseRev * 0.12 * L7 * (1+RevGrowth)^(9-1)</f>
        <v/>
      </c>
      <c r="M8" s="41">
        <f>BaseRev * 0.12 * M7 * (1+RevGrowth)^(10-1)</f>
        <v/>
      </c>
      <c r="N8" s="42">
        <f>SUM(C8:M8)</f>
        <v/>
      </c>
    </row>
    <row r="9">
      <c r="B9" s="39" t="inlineStr">
        <is>
          <t>EBITDA</t>
        </is>
      </c>
      <c r="C9" s="41">
        <f>C8 * ProjEM</f>
        <v/>
      </c>
      <c r="D9" s="41">
        <f>D8 * ProjEM</f>
        <v/>
      </c>
      <c r="E9" s="41">
        <f>E8 * ProjEM</f>
        <v/>
      </c>
      <c r="F9" s="41">
        <f>F8 * ProjEM</f>
        <v/>
      </c>
      <c r="G9" s="41">
        <f>G8 * ProjEM</f>
        <v/>
      </c>
      <c r="H9" s="41">
        <f>H8 * ProjEM</f>
        <v/>
      </c>
      <c r="I9" s="41">
        <f>I8 * ProjEM</f>
        <v/>
      </c>
      <c r="J9" s="41">
        <f>J8 * ProjEM</f>
        <v/>
      </c>
      <c r="K9" s="41">
        <f>K8 * ProjEM</f>
        <v/>
      </c>
      <c r="L9" s="41">
        <f>L8 * ProjEM</f>
        <v/>
      </c>
      <c r="M9" s="41">
        <f>M8 * ProjEM</f>
        <v/>
      </c>
      <c r="N9" s="42">
        <f>SUM(C9:M9)</f>
        <v/>
      </c>
    </row>
    <row r="10">
      <c r="B10" s="39" t="inlineStr">
        <is>
          <t>D&amp;A</t>
        </is>
      </c>
      <c r="C10" s="41">
        <f>C8 * DAPct</f>
        <v/>
      </c>
      <c r="D10" s="41">
        <f>D8 * DAPct</f>
        <v/>
      </c>
      <c r="E10" s="41">
        <f>E8 * DAPct</f>
        <v/>
      </c>
      <c r="F10" s="41">
        <f>F8 * DAPct</f>
        <v/>
      </c>
      <c r="G10" s="41">
        <f>G8 * DAPct</f>
        <v/>
      </c>
      <c r="H10" s="41">
        <f>H8 * DAPct</f>
        <v/>
      </c>
      <c r="I10" s="41">
        <f>I8 * DAPct</f>
        <v/>
      </c>
      <c r="J10" s="41">
        <f>J8 * DAPct</f>
        <v/>
      </c>
      <c r="K10" s="41">
        <f>K8 * DAPct</f>
        <v/>
      </c>
      <c r="L10" s="41">
        <f>L8 * DAPct</f>
        <v/>
      </c>
      <c r="M10" s="41">
        <f>M8 * DAPct</f>
        <v/>
      </c>
    </row>
    <row r="11">
      <c r="B11" s="39" t="inlineStr">
        <is>
          <t>EBIT</t>
        </is>
      </c>
      <c r="C11" s="41">
        <f>C9 - C10</f>
        <v/>
      </c>
      <c r="D11" s="41">
        <f>D9 - D10</f>
        <v/>
      </c>
      <c r="E11" s="41">
        <f>E9 - E10</f>
        <v/>
      </c>
      <c r="F11" s="41">
        <f>F9 - F10</f>
        <v/>
      </c>
      <c r="G11" s="41">
        <f>G9 - G10</f>
        <v/>
      </c>
      <c r="H11" s="41">
        <f>H9 - H10</f>
        <v/>
      </c>
      <c r="I11" s="41">
        <f>I9 - I10</f>
        <v/>
      </c>
      <c r="J11" s="41">
        <f>J9 - J10</f>
        <v/>
      </c>
      <c r="K11" s="41">
        <f>K9 - K10</f>
        <v/>
      </c>
      <c r="L11" s="41">
        <f>L9 - L10</f>
        <v/>
      </c>
      <c r="M11" s="41">
        <f>M9 - M10</f>
        <v/>
      </c>
    </row>
    <row r="12">
      <c r="B12" s="39" t="inlineStr">
        <is>
          <t>Tax</t>
        </is>
      </c>
      <c r="C12" s="41">
        <f>MAX(C11, 0) * TaxRate</f>
        <v/>
      </c>
      <c r="D12" s="41">
        <f>MAX(D11, 0) * TaxRate</f>
        <v/>
      </c>
      <c r="E12" s="41">
        <f>MAX(E11, 0) * TaxRate</f>
        <v/>
      </c>
      <c r="F12" s="41">
        <f>MAX(F11, 0) * TaxRate</f>
        <v/>
      </c>
      <c r="G12" s="41">
        <f>MAX(G11, 0) * TaxRate</f>
        <v/>
      </c>
      <c r="H12" s="41">
        <f>MAX(H11, 0) * TaxRate</f>
        <v/>
      </c>
      <c r="I12" s="41">
        <f>MAX(I11, 0) * TaxRate</f>
        <v/>
      </c>
      <c r="J12" s="41">
        <f>MAX(J11, 0) * TaxRate</f>
        <v/>
      </c>
      <c r="K12" s="41">
        <f>MAX(K11, 0) * TaxRate</f>
        <v/>
      </c>
      <c r="L12" s="41">
        <f>MAX(L11, 0) * TaxRate</f>
        <v/>
      </c>
      <c r="M12" s="41">
        <f>MAX(M11, 0) * TaxRate</f>
        <v/>
      </c>
    </row>
    <row r="13">
      <c r="B13" s="39" t="inlineStr">
        <is>
          <t>NOPAT</t>
        </is>
      </c>
      <c r="C13" s="41">
        <f>C11 - C12</f>
        <v/>
      </c>
      <c r="D13" s="41">
        <f>D11 - D12</f>
        <v/>
      </c>
      <c r="E13" s="41">
        <f>E11 - E12</f>
        <v/>
      </c>
      <c r="F13" s="41">
        <f>F11 - F12</f>
        <v/>
      </c>
      <c r="G13" s="41">
        <f>G11 - G12</f>
        <v/>
      </c>
      <c r="H13" s="41">
        <f>H11 - H12</f>
        <v/>
      </c>
      <c r="I13" s="41">
        <f>I11 - I12</f>
        <v/>
      </c>
      <c r="J13" s="41">
        <f>J11 - J12</f>
        <v/>
      </c>
      <c r="K13" s="41">
        <f>K11 - K12</f>
        <v/>
      </c>
      <c r="L13" s="41">
        <f>L11 - L12</f>
        <v/>
      </c>
      <c r="M13" s="41">
        <f>M11 - M12</f>
        <v/>
      </c>
    </row>
    <row r="14">
      <c r="B14" s="39" t="inlineStr">
        <is>
          <t>OCF (NOPAT + D&amp;A)</t>
        </is>
      </c>
      <c r="C14" s="41">
        <f>C13 + C10</f>
        <v/>
      </c>
      <c r="D14" s="41">
        <f>D13 + D10</f>
        <v/>
      </c>
      <c r="E14" s="41">
        <f>E13 + E10</f>
        <v/>
      </c>
      <c r="F14" s="41">
        <f>F13 + F10</f>
        <v/>
      </c>
      <c r="G14" s="41">
        <f>G13 + G10</f>
        <v/>
      </c>
      <c r="H14" s="41">
        <f>H13 + H10</f>
        <v/>
      </c>
      <c r="I14" s="41">
        <f>I13 + I10</f>
        <v/>
      </c>
      <c r="J14" s="41">
        <f>J13 + J10</f>
        <v/>
      </c>
      <c r="K14" s="41">
        <f>K13 + K10</f>
        <v/>
      </c>
      <c r="L14" s="41">
        <f>L13 + L10</f>
        <v/>
      </c>
      <c r="M14" s="41">
        <f>M13 + M10</f>
        <v/>
      </c>
    </row>
    <row r="15">
      <c r="B15" s="39" t="inlineStr">
        <is>
          <t>Δ NWC</t>
        </is>
      </c>
      <c r="C15" s="43" t="n">
        <v>0</v>
      </c>
      <c r="D15" s="41">
        <f>(D8 - C8) * NWCPct</f>
        <v/>
      </c>
      <c r="E15" s="41">
        <f>(E8 - D8) * NWCPct</f>
        <v/>
      </c>
      <c r="F15" s="41">
        <f>(F8 - E8) * NWCPct</f>
        <v/>
      </c>
      <c r="G15" s="41">
        <f>(G8 - F8) * NWCPct</f>
        <v/>
      </c>
      <c r="H15" s="41">
        <f>(H8 - G8) * NWCPct</f>
        <v/>
      </c>
      <c r="I15" s="41">
        <f>(I8 - H8) * NWCPct</f>
        <v/>
      </c>
      <c r="J15" s="41">
        <f>(J8 - I8) * NWCPct</f>
        <v/>
      </c>
      <c r="K15" s="41">
        <f>(K8 - J8) * NWCPct</f>
        <v/>
      </c>
      <c r="L15" s="41">
        <f>(L8 - K8) * NWCPct</f>
        <v/>
      </c>
      <c r="M15" s="41">
        <f>(M8 - L8) * NWCPct</f>
        <v/>
      </c>
    </row>
    <row r="16">
      <c r="B16" s="39" t="inlineStr">
        <is>
          <t>Capex</t>
        </is>
      </c>
      <c r="C16" s="44">
        <f>Capex</f>
        <v/>
      </c>
      <c r="D16" s="41">
        <f>D8 * MaintCapex</f>
        <v/>
      </c>
      <c r="E16" s="41">
        <f>E8 * MaintCapex</f>
        <v/>
      </c>
      <c r="F16" s="41">
        <f>F8 * MaintCapex</f>
        <v/>
      </c>
      <c r="G16" s="41">
        <f>G8 * MaintCapex</f>
        <v/>
      </c>
      <c r="H16" s="41">
        <f>H8 * MaintCapex</f>
        <v/>
      </c>
      <c r="I16" s="41">
        <f>I8 * MaintCapex</f>
        <v/>
      </c>
      <c r="J16" s="41">
        <f>J8 * MaintCapex</f>
        <v/>
      </c>
      <c r="K16" s="41">
        <f>K8 * MaintCapex</f>
        <v/>
      </c>
      <c r="L16" s="41">
        <f>L8 * MaintCapex</f>
        <v/>
      </c>
      <c r="M16" s="41">
        <f>M8 * MaintCapex</f>
        <v/>
      </c>
    </row>
    <row r="17">
      <c r="B17" s="39" t="inlineStr">
        <is>
          <t>Terminal Value</t>
        </is>
      </c>
      <c r="C17" s="40" t="n">
        <v>0</v>
      </c>
      <c r="D17" s="40" t="n">
        <v>0</v>
      </c>
      <c r="E17" s="40" t="n">
        <v>0</v>
      </c>
      <c r="F17" s="40" t="n">
        <v>0</v>
      </c>
      <c r="G17" s="40" t="n">
        <v>0</v>
      </c>
      <c r="H17" s="40" t="n">
        <v>0</v>
      </c>
      <c r="I17" s="40" t="n">
        <v>0</v>
      </c>
      <c r="J17" s="40" t="n">
        <v>0</v>
      </c>
      <c r="K17" s="40" t="n">
        <v>0</v>
      </c>
      <c r="L17" s="40" t="n">
        <v>0</v>
      </c>
      <c r="M17" s="45">
        <f>(M14 - M15 - M16) * (1+TermG) / (Opt_WACC/100 - TermG)</f>
        <v/>
      </c>
    </row>
    <row r="18">
      <c r="B18" s="46" t="inlineStr">
        <is>
          <t>FCF ($M)</t>
        </is>
      </c>
      <c r="C18" s="47">
        <f>-C16</f>
        <v/>
      </c>
      <c r="D18" s="47">
        <f>D14 - D15 - D16 + D17</f>
        <v/>
      </c>
      <c r="E18" s="47">
        <f>E14 - E15 - E16 + E17</f>
        <v/>
      </c>
      <c r="F18" s="47">
        <f>F14 - F15 - F16 + F17</f>
        <v/>
      </c>
      <c r="G18" s="47">
        <f>G14 - G15 - G16 + G17</f>
        <v/>
      </c>
      <c r="H18" s="47">
        <f>H14 - H15 - H16 + H17</f>
        <v/>
      </c>
      <c r="I18" s="47">
        <f>I14 - I15 - I16 + I17</f>
        <v/>
      </c>
      <c r="J18" s="47">
        <f>J14 - J15 - J16 + J17</f>
        <v/>
      </c>
      <c r="K18" s="47">
        <f>K14 - K15 - K16 + K17</f>
        <v/>
      </c>
      <c r="L18" s="47">
        <f>L14 - L15 - L16 + L17</f>
        <v/>
      </c>
      <c r="M18" s="47">
        <f>M14 - M15 - M16 + M17</f>
        <v/>
      </c>
    </row>
    <row r="20">
      <c r="B20" s="2" t="inlineStr">
        <is>
          <t>IRR</t>
        </is>
      </c>
      <c r="C20" s="48">
        <f>IRR(C18:M18)</f>
        <v/>
      </c>
    </row>
    <row r="21">
      <c r="B21" s="2" t="inlineStr">
        <is>
          <t>NPV @ Opt_WACC</t>
        </is>
      </c>
      <c r="C21" s="49">
        <f>NPV(Opt_WACC/100, D18:M18) + C18</f>
        <v/>
      </c>
    </row>
    <row r="23">
      <c r="B23" s="35" t="inlineStr">
        <is>
          <t>HERO FINDING</t>
        </is>
      </c>
    </row>
    <row r="24">
      <c r="B24" s="8" t="inlineStr">
        <is>
          <t>Project clears WACC by 5.3pp (IRR 13.1% vs WACC 7.75%) → strong static case</t>
        </is>
      </c>
    </row>
    <row r="25">
      <c r="B25" s="8" t="inlineStr">
        <is>
          <t>Static NPV ≈ $107M is 53% of $200M capex → high IRR/NPV margin</t>
        </is>
      </c>
    </row>
  </sheetData>
  <mergeCells count="4">
    <mergeCell ref="B25:N25"/>
    <mergeCell ref="B24:N24"/>
    <mergeCell ref="B2:N2"/>
    <mergeCell ref="B4:N4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N30"/>
  <sheetViews>
    <sheetView workbookViewId="0">
      <selection activeCell="A1" sqref="A1"/>
    </sheetView>
  </sheetViews>
  <sheetFormatPr baseColWidth="8" defaultRowHeight="15"/>
  <cols>
    <col width="11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</cols>
  <sheetData>
    <row r="2" ht="28" customHeight="1">
      <c r="B2" s="1" t="inlineStr">
        <is>
          <t>2-WAY DATA TABLE — DuPont DSCR Breaking Point</t>
        </is>
      </c>
    </row>
    <row r="4">
      <c r="B4" s="8" t="inlineStr">
        <is>
          <t>DuPont: ROE = Net Margin × Asset Turnover × Equity Multiplier. Below: DSCR matrix vs (AT, NM). Bank covenant breach if DSCR &lt; 1.25.</t>
        </is>
      </c>
    </row>
    <row r="6">
      <c r="B6" s="5" t="inlineStr">
        <is>
          <t>Inputs</t>
        </is>
      </c>
    </row>
    <row r="7">
      <c r="B7" t="inlineStr">
        <is>
          <t>Total debt ($M)</t>
        </is>
      </c>
      <c r="C7" s="50" t="n">
        <v>1842</v>
      </c>
    </row>
    <row r="8">
      <c r="B8" t="inlineStr">
        <is>
          <t>Annual interest payment ($M)</t>
        </is>
      </c>
      <c r="C8" s="41">
        <f>C7 * BAA / 100</f>
        <v/>
      </c>
    </row>
    <row r="9">
      <c r="B9" t="inlineStr">
        <is>
          <t>Annual principal payment ($M)</t>
        </is>
      </c>
      <c r="C9" s="41">
        <f>C7 / 10</f>
        <v/>
      </c>
    </row>
    <row r="10">
      <c r="B10" t="inlineStr">
        <is>
          <t>Total annual debt service ($M)</t>
        </is>
      </c>
      <c r="C10" s="47">
        <f>C8 + C9</f>
        <v/>
      </c>
    </row>
    <row r="11">
      <c r="B11" t="inlineStr">
        <is>
          <t>Covenant DSCR threshold</t>
        </is>
      </c>
      <c r="C11" s="38" t="n">
        <v>1.25</v>
      </c>
    </row>
    <row r="12">
      <c r="B12" t="inlineStr">
        <is>
          <t>Firm revenue baseline ($M)</t>
        </is>
      </c>
      <c r="C12" s="50" t="n">
        <v>1800</v>
      </c>
    </row>
    <row r="15">
      <c r="B15" s="6" t="inlineStr">
        <is>
          <t>AT \ NM</t>
        </is>
      </c>
      <c r="C15" s="51" t="n">
        <v>0.01</v>
      </c>
      <c r="D15" s="51" t="n">
        <v>0.02</v>
      </c>
      <c r="E15" s="51" t="n">
        <v>0.03</v>
      </c>
      <c r="F15" s="51" t="n">
        <v>0.04</v>
      </c>
      <c r="G15" s="51" t="n">
        <v>0.05</v>
      </c>
      <c r="H15" s="51" t="n">
        <v>0.06</v>
      </c>
      <c r="I15" s="51" t="n">
        <v>0.07000000000000001</v>
      </c>
      <c r="J15" s="51" t="n">
        <v>0.08</v>
      </c>
      <c r="K15" s="51" t="n">
        <v>0.09</v>
      </c>
      <c r="L15" s="51" t="n">
        <v>0.1</v>
      </c>
      <c r="M15" s="51" t="n">
        <v>0.11</v>
      </c>
      <c r="N15" s="51" t="n">
        <v>0.12</v>
      </c>
    </row>
    <row r="16">
      <c r="B16" s="52" t="n">
        <v>0.4</v>
      </c>
      <c r="C16" s="30">
        <f>($C$12 * $B16 / PeerAT * C$15) / 0.55 / $C$10</f>
        <v/>
      </c>
      <c r="D16" s="30">
        <f>($C$12 * $B16 / PeerAT * D$15) / 0.55 / $C$10</f>
        <v/>
      </c>
      <c r="E16" s="30">
        <f>($C$12 * $B16 / PeerAT * E$15) / 0.55 / $C$10</f>
        <v/>
      </c>
      <c r="F16" s="30">
        <f>($C$12 * $B16 / PeerAT * F$15) / 0.55 / $C$10</f>
        <v/>
      </c>
      <c r="G16" s="30">
        <f>($C$12 * $B16 / PeerAT * G$15) / 0.55 / $C$10</f>
        <v/>
      </c>
      <c r="H16" s="30">
        <f>($C$12 * $B16 / PeerAT * H$15) / 0.55 / $C$10</f>
        <v/>
      </c>
      <c r="I16" s="30">
        <f>($C$12 * $B16 / PeerAT * I$15) / 0.55 / $C$10</f>
        <v/>
      </c>
      <c r="J16" s="30">
        <f>($C$12 * $B16 / PeerAT * J$15) / 0.55 / $C$10</f>
        <v/>
      </c>
      <c r="K16" s="30">
        <f>($C$12 * $B16 / PeerAT * K$15) / 0.55 / $C$10</f>
        <v/>
      </c>
      <c r="L16" s="30">
        <f>($C$12 * $B16 / PeerAT * L$15) / 0.55 / $C$10</f>
        <v/>
      </c>
      <c r="M16" s="30">
        <f>($C$12 * $B16 / PeerAT * M$15) / 0.55 / $C$10</f>
        <v/>
      </c>
      <c r="N16" s="30">
        <f>($C$12 * $B16 / PeerAT * N$15) / 0.55 / $C$10</f>
        <v/>
      </c>
    </row>
    <row r="17">
      <c r="B17" s="52" t="n">
        <v>0.5</v>
      </c>
      <c r="C17" s="30">
        <f>($C$12 * $B17 / PeerAT * C$15) / 0.55 / $C$10</f>
        <v/>
      </c>
      <c r="D17" s="30">
        <f>($C$12 * $B17 / PeerAT * D$15) / 0.55 / $C$10</f>
        <v/>
      </c>
      <c r="E17" s="30">
        <f>($C$12 * $B17 / PeerAT * E$15) / 0.55 / $C$10</f>
        <v/>
      </c>
      <c r="F17" s="30">
        <f>($C$12 * $B17 / PeerAT * F$15) / 0.55 / $C$10</f>
        <v/>
      </c>
      <c r="G17" s="30">
        <f>($C$12 * $B17 / PeerAT * G$15) / 0.55 / $C$10</f>
        <v/>
      </c>
      <c r="H17" s="30">
        <f>($C$12 * $B17 / PeerAT * H$15) / 0.55 / $C$10</f>
        <v/>
      </c>
      <c r="I17" s="30">
        <f>($C$12 * $B17 / PeerAT * I$15) / 0.55 / $C$10</f>
        <v/>
      </c>
      <c r="J17" s="30">
        <f>($C$12 * $B17 / PeerAT * J$15) / 0.55 / $C$10</f>
        <v/>
      </c>
      <c r="K17" s="30">
        <f>($C$12 * $B17 / PeerAT * K$15) / 0.55 / $C$10</f>
        <v/>
      </c>
      <c r="L17" s="30">
        <f>($C$12 * $B17 / PeerAT * L$15) / 0.55 / $C$10</f>
        <v/>
      </c>
      <c r="M17" s="30">
        <f>($C$12 * $B17 / PeerAT * M$15) / 0.55 / $C$10</f>
        <v/>
      </c>
      <c r="N17" s="30">
        <f>($C$12 * $B17 / PeerAT * N$15) / 0.55 / $C$10</f>
        <v/>
      </c>
    </row>
    <row r="18">
      <c r="B18" s="52" t="n">
        <v>0.6</v>
      </c>
      <c r="C18" s="30">
        <f>($C$12 * $B18 / PeerAT * C$15) / 0.55 / $C$10</f>
        <v/>
      </c>
      <c r="D18" s="30">
        <f>($C$12 * $B18 / PeerAT * D$15) / 0.55 / $C$10</f>
        <v/>
      </c>
      <c r="E18" s="30">
        <f>($C$12 * $B18 / PeerAT * E$15) / 0.55 / $C$10</f>
        <v/>
      </c>
      <c r="F18" s="30">
        <f>($C$12 * $B18 / PeerAT * F$15) / 0.55 / $C$10</f>
        <v/>
      </c>
      <c r="G18" s="30">
        <f>($C$12 * $B18 / PeerAT * G$15) / 0.55 / $C$10</f>
        <v/>
      </c>
      <c r="H18" s="30">
        <f>($C$12 * $B18 / PeerAT * H$15) / 0.55 / $C$10</f>
        <v/>
      </c>
      <c r="I18" s="30">
        <f>($C$12 * $B18 / PeerAT * I$15) / 0.55 / $C$10</f>
        <v/>
      </c>
      <c r="J18" s="30">
        <f>($C$12 * $B18 / PeerAT * J$15) / 0.55 / $C$10</f>
        <v/>
      </c>
      <c r="K18" s="30">
        <f>($C$12 * $B18 / PeerAT * K$15) / 0.55 / $C$10</f>
        <v/>
      </c>
      <c r="L18" s="30">
        <f>($C$12 * $B18 / PeerAT * L$15) / 0.55 / $C$10</f>
        <v/>
      </c>
      <c r="M18" s="30">
        <f>($C$12 * $B18 / PeerAT * M$15) / 0.55 / $C$10</f>
        <v/>
      </c>
      <c r="N18" s="30">
        <f>($C$12 * $B18 / PeerAT * N$15) / 0.55 / $C$10</f>
        <v/>
      </c>
    </row>
    <row r="19">
      <c r="B19" s="52" t="n">
        <v>0.7</v>
      </c>
      <c r="C19" s="30">
        <f>($C$12 * $B19 / PeerAT * C$15) / 0.55 / $C$10</f>
        <v/>
      </c>
      <c r="D19" s="30">
        <f>($C$12 * $B19 / PeerAT * D$15) / 0.55 / $C$10</f>
        <v/>
      </c>
      <c r="E19" s="30">
        <f>($C$12 * $B19 / PeerAT * E$15) / 0.55 / $C$10</f>
        <v/>
      </c>
      <c r="F19" s="30">
        <f>($C$12 * $B19 / PeerAT * F$15) / 0.55 / $C$10</f>
        <v/>
      </c>
      <c r="G19" s="30">
        <f>($C$12 * $B19 / PeerAT * G$15) / 0.55 / $C$10</f>
        <v/>
      </c>
      <c r="H19" s="30">
        <f>($C$12 * $B19 / PeerAT * H$15) / 0.55 / $C$10</f>
        <v/>
      </c>
      <c r="I19" s="30">
        <f>($C$12 * $B19 / PeerAT * I$15) / 0.55 / $C$10</f>
        <v/>
      </c>
      <c r="J19" s="30">
        <f>($C$12 * $B19 / PeerAT * J$15) / 0.55 / $C$10</f>
        <v/>
      </c>
      <c r="K19" s="30">
        <f>($C$12 * $B19 / PeerAT * K$15) / 0.55 / $C$10</f>
        <v/>
      </c>
      <c r="L19" s="30">
        <f>($C$12 * $B19 / PeerAT * L$15) / 0.55 / $C$10</f>
        <v/>
      </c>
      <c r="M19" s="30">
        <f>($C$12 * $B19 / PeerAT * M$15) / 0.55 / $C$10</f>
        <v/>
      </c>
      <c r="N19" s="30">
        <f>($C$12 * $B19 / PeerAT * N$15) / 0.55 / $C$10</f>
        <v/>
      </c>
    </row>
    <row r="20">
      <c r="B20" s="52" t="n">
        <v>0.8</v>
      </c>
      <c r="C20" s="30">
        <f>($C$12 * $B20 / PeerAT * C$15) / 0.55 / $C$10</f>
        <v/>
      </c>
      <c r="D20" s="30">
        <f>($C$12 * $B20 / PeerAT * D$15) / 0.55 / $C$10</f>
        <v/>
      </c>
      <c r="E20" s="30">
        <f>($C$12 * $B20 / PeerAT * E$15) / 0.55 / $C$10</f>
        <v/>
      </c>
      <c r="F20" s="30">
        <f>($C$12 * $B20 / PeerAT * F$15) / 0.55 / $C$10</f>
        <v/>
      </c>
      <c r="G20" s="30">
        <f>($C$12 * $B20 / PeerAT * G$15) / 0.55 / $C$10</f>
        <v/>
      </c>
      <c r="H20" s="30">
        <f>($C$12 * $B20 / PeerAT * H$15) / 0.55 / $C$10</f>
        <v/>
      </c>
      <c r="I20" s="30">
        <f>($C$12 * $B20 / PeerAT * I$15) / 0.55 / $C$10</f>
        <v/>
      </c>
      <c r="J20" s="30">
        <f>($C$12 * $B20 / PeerAT * J$15) / 0.55 / $C$10</f>
        <v/>
      </c>
      <c r="K20" s="30">
        <f>($C$12 * $B20 / PeerAT * K$15) / 0.55 / $C$10</f>
        <v/>
      </c>
      <c r="L20" s="30">
        <f>($C$12 * $B20 / PeerAT * L$15) / 0.55 / $C$10</f>
        <v/>
      </c>
      <c r="M20" s="30">
        <f>($C$12 * $B20 / PeerAT * M$15) / 0.55 / $C$10</f>
        <v/>
      </c>
      <c r="N20" s="30">
        <f>($C$12 * $B20 / PeerAT * N$15) / 0.55 / $C$10</f>
        <v/>
      </c>
    </row>
    <row r="21">
      <c r="B21" s="52" t="n">
        <v>0.9</v>
      </c>
      <c r="C21" s="30">
        <f>($C$12 * $B21 / PeerAT * C$15) / 0.55 / $C$10</f>
        <v/>
      </c>
      <c r="D21" s="30">
        <f>($C$12 * $B21 / PeerAT * D$15) / 0.55 / $C$10</f>
        <v/>
      </c>
      <c r="E21" s="30">
        <f>($C$12 * $B21 / PeerAT * E$15) / 0.55 / $C$10</f>
        <v/>
      </c>
      <c r="F21" s="30">
        <f>($C$12 * $B21 / PeerAT * F$15) / 0.55 / $C$10</f>
        <v/>
      </c>
      <c r="G21" s="30">
        <f>($C$12 * $B21 / PeerAT * G$15) / 0.55 / $C$10</f>
        <v/>
      </c>
      <c r="H21" s="30">
        <f>($C$12 * $B21 / PeerAT * H$15) / 0.55 / $C$10</f>
        <v/>
      </c>
      <c r="I21" s="30">
        <f>($C$12 * $B21 / PeerAT * I$15) / 0.55 / $C$10</f>
        <v/>
      </c>
      <c r="J21" s="30">
        <f>($C$12 * $B21 / PeerAT * J$15) / 0.55 / $C$10</f>
        <v/>
      </c>
      <c r="K21" s="30">
        <f>($C$12 * $B21 / PeerAT * K$15) / 0.55 / $C$10</f>
        <v/>
      </c>
      <c r="L21" s="30">
        <f>($C$12 * $B21 / PeerAT * L$15) / 0.55 / $C$10</f>
        <v/>
      </c>
      <c r="M21" s="30">
        <f>($C$12 * $B21 / PeerAT * M$15) / 0.55 / $C$10</f>
        <v/>
      </c>
      <c r="N21" s="30">
        <f>($C$12 * $B21 / PeerAT * N$15) / 0.55 / $C$10</f>
        <v/>
      </c>
    </row>
    <row r="22">
      <c r="B22" s="52" t="n">
        <v>1</v>
      </c>
      <c r="C22" s="30">
        <f>($C$12 * $B22 / PeerAT * C$15) / 0.55 / $C$10</f>
        <v/>
      </c>
      <c r="D22" s="30">
        <f>($C$12 * $B22 / PeerAT * D$15) / 0.55 / $C$10</f>
        <v/>
      </c>
      <c r="E22" s="30">
        <f>($C$12 * $B22 / PeerAT * E$15) / 0.55 / $C$10</f>
        <v/>
      </c>
      <c r="F22" s="30">
        <f>($C$12 * $B22 / PeerAT * F$15) / 0.55 / $C$10</f>
        <v/>
      </c>
      <c r="G22" s="30">
        <f>($C$12 * $B22 / PeerAT * G$15) / 0.55 / $C$10</f>
        <v/>
      </c>
      <c r="H22" s="30">
        <f>($C$12 * $B22 / PeerAT * H$15) / 0.55 / $C$10</f>
        <v/>
      </c>
      <c r="I22" s="30">
        <f>($C$12 * $B22 / PeerAT * I$15) / 0.55 / $C$10</f>
        <v/>
      </c>
      <c r="J22" s="30">
        <f>($C$12 * $B22 / PeerAT * J$15) / 0.55 / $C$10</f>
        <v/>
      </c>
      <c r="K22" s="30">
        <f>($C$12 * $B22 / PeerAT * K$15) / 0.55 / $C$10</f>
        <v/>
      </c>
      <c r="L22" s="30">
        <f>($C$12 * $B22 / PeerAT * L$15) / 0.55 / $C$10</f>
        <v/>
      </c>
      <c r="M22" s="30">
        <f>($C$12 * $B22 / PeerAT * M$15) / 0.55 / $C$10</f>
        <v/>
      </c>
      <c r="N22" s="30">
        <f>($C$12 * $B22 / PeerAT * N$15) / 0.55 / $C$10</f>
        <v/>
      </c>
    </row>
    <row r="23">
      <c r="B23" s="52" t="n">
        <v>1.1</v>
      </c>
      <c r="C23" s="30">
        <f>($C$12 * $B23 / PeerAT * C$15) / 0.55 / $C$10</f>
        <v/>
      </c>
      <c r="D23" s="30">
        <f>($C$12 * $B23 / PeerAT * D$15) / 0.55 / $C$10</f>
        <v/>
      </c>
      <c r="E23" s="30">
        <f>($C$12 * $B23 / PeerAT * E$15) / 0.55 / $C$10</f>
        <v/>
      </c>
      <c r="F23" s="30">
        <f>($C$12 * $B23 / PeerAT * F$15) / 0.55 / $C$10</f>
        <v/>
      </c>
      <c r="G23" s="30">
        <f>($C$12 * $B23 / PeerAT * G$15) / 0.55 / $C$10</f>
        <v/>
      </c>
      <c r="H23" s="30">
        <f>($C$12 * $B23 / PeerAT * H$15) / 0.55 / $C$10</f>
        <v/>
      </c>
      <c r="I23" s="30">
        <f>($C$12 * $B23 / PeerAT * I$15) / 0.55 / $C$10</f>
        <v/>
      </c>
      <c r="J23" s="30">
        <f>($C$12 * $B23 / PeerAT * J$15) / 0.55 / $C$10</f>
        <v/>
      </c>
      <c r="K23" s="30">
        <f>($C$12 * $B23 / PeerAT * K$15) / 0.55 / $C$10</f>
        <v/>
      </c>
      <c r="L23" s="30">
        <f>($C$12 * $B23 / PeerAT * L$15) / 0.55 / $C$10</f>
        <v/>
      </c>
      <c r="M23" s="30">
        <f>($C$12 * $B23 / PeerAT * M$15) / 0.55 / $C$10</f>
        <v/>
      </c>
      <c r="N23" s="30">
        <f>($C$12 * $B23 / PeerAT * N$15) / 0.55 / $C$10</f>
        <v/>
      </c>
    </row>
    <row r="24">
      <c r="B24" s="52" t="n">
        <v>1.2</v>
      </c>
      <c r="C24" s="30">
        <f>($C$12 * $B24 / PeerAT * C$15) / 0.55 / $C$10</f>
        <v/>
      </c>
      <c r="D24" s="30">
        <f>($C$12 * $B24 / PeerAT * D$15) / 0.55 / $C$10</f>
        <v/>
      </c>
      <c r="E24" s="30">
        <f>($C$12 * $B24 / PeerAT * E$15) / 0.55 / $C$10</f>
        <v/>
      </c>
      <c r="F24" s="30">
        <f>($C$12 * $B24 / PeerAT * F$15) / 0.55 / $C$10</f>
        <v/>
      </c>
      <c r="G24" s="30">
        <f>($C$12 * $B24 / PeerAT * G$15) / 0.55 / $C$10</f>
        <v/>
      </c>
      <c r="H24" s="30">
        <f>($C$12 * $B24 / PeerAT * H$15) / 0.55 / $C$10</f>
        <v/>
      </c>
      <c r="I24" s="30">
        <f>($C$12 * $B24 / PeerAT * I$15) / 0.55 / $C$10</f>
        <v/>
      </c>
      <c r="J24" s="30">
        <f>($C$12 * $B24 / PeerAT * J$15) / 0.55 / $C$10</f>
        <v/>
      </c>
      <c r="K24" s="30">
        <f>($C$12 * $B24 / PeerAT * K$15) / 0.55 / $C$10</f>
        <v/>
      </c>
      <c r="L24" s="30">
        <f>($C$12 * $B24 / PeerAT * L$15) / 0.55 / $C$10</f>
        <v/>
      </c>
      <c r="M24" s="30">
        <f>($C$12 * $B24 / PeerAT * M$15) / 0.55 / $C$10</f>
        <v/>
      </c>
      <c r="N24" s="30">
        <f>($C$12 * $B24 / PeerAT * N$15) / 0.55 / $C$10</f>
        <v/>
      </c>
    </row>
    <row r="25">
      <c r="B25" s="52" t="n">
        <v>1.3</v>
      </c>
      <c r="C25" s="30">
        <f>($C$12 * $B25 / PeerAT * C$15) / 0.55 / $C$10</f>
        <v/>
      </c>
      <c r="D25" s="30">
        <f>($C$12 * $B25 / PeerAT * D$15) / 0.55 / $C$10</f>
        <v/>
      </c>
      <c r="E25" s="30">
        <f>($C$12 * $B25 / PeerAT * E$15) / 0.55 / $C$10</f>
        <v/>
      </c>
      <c r="F25" s="30">
        <f>($C$12 * $B25 / PeerAT * F$15) / 0.55 / $C$10</f>
        <v/>
      </c>
      <c r="G25" s="30">
        <f>($C$12 * $B25 / PeerAT * G$15) / 0.55 / $C$10</f>
        <v/>
      </c>
      <c r="H25" s="30">
        <f>($C$12 * $B25 / PeerAT * H$15) / 0.55 / $C$10</f>
        <v/>
      </c>
      <c r="I25" s="30">
        <f>($C$12 * $B25 / PeerAT * I$15) / 0.55 / $C$10</f>
        <v/>
      </c>
      <c r="J25" s="30">
        <f>($C$12 * $B25 / PeerAT * J$15) / 0.55 / $C$10</f>
        <v/>
      </c>
      <c r="K25" s="30">
        <f>($C$12 * $B25 / PeerAT * K$15) / 0.55 / $C$10</f>
        <v/>
      </c>
      <c r="L25" s="30">
        <f>($C$12 * $B25 / PeerAT * L$15) / 0.55 / $C$10</f>
        <v/>
      </c>
      <c r="M25" s="30">
        <f>($C$12 * $B25 / PeerAT * M$15) / 0.55 / $C$10</f>
        <v/>
      </c>
      <c r="N25" s="30">
        <f>($C$12 * $B25 / PeerAT * N$15) / 0.55 / $C$10</f>
        <v/>
      </c>
    </row>
    <row r="26">
      <c r="B26" s="52" t="n">
        <v>1.4</v>
      </c>
      <c r="C26" s="30">
        <f>($C$12 * $B26 / PeerAT * C$15) / 0.55 / $C$10</f>
        <v/>
      </c>
      <c r="D26" s="30">
        <f>($C$12 * $B26 / PeerAT * D$15) / 0.55 / $C$10</f>
        <v/>
      </c>
      <c r="E26" s="30">
        <f>($C$12 * $B26 / PeerAT * E$15) / 0.55 / $C$10</f>
        <v/>
      </c>
      <c r="F26" s="30">
        <f>($C$12 * $B26 / PeerAT * F$15) / 0.55 / $C$10</f>
        <v/>
      </c>
      <c r="G26" s="30">
        <f>($C$12 * $B26 / PeerAT * G$15) / 0.55 / $C$10</f>
        <v/>
      </c>
      <c r="H26" s="30">
        <f>($C$12 * $B26 / PeerAT * H$15) / 0.55 / $C$10</f>
        <v/>
      </c>
      <c r="I26" s="30">
        <f>($C$12 * $B26 / PeerAT * I$15) / 0.55 / $C$10</f>
        <v/>
      </c>
      <c r="J26" s="30">
        <f>($C$12 * $B26 / PeerAT * J$15) / 0.55 / $C$10</f>
        <v/>
      </c>
      <c r="K26" s="30">
        <f>($C$12 * $B26 / PeerAT * K$15) / 0.55 / $C$10</f>
        <v/>
      </c>
      <c r="L26" s="30">
        <f>($C$12 * $B26 / PeerAT * L$15) / 0.55 / $C$10</f>
        <v/>
      </c>
      <c r="M26" s="30">
        <f>($C$12 * $B26 / PeerAT * M$15) / 0.55 / $C$10</f>
        <v/>
      </c>
      <c r="N26" s="30">
        <f>($C$12 * $B26 / PeerAT * N$15) / 0.55 / $C$10</f>
        <v/>
      </c>
    </row>
    <row r="28">
      <c r="B28" s="2" t="inlineStr">
        <is>
          <t>Peer median (AT, NM): (0.84, 4.9%) → DSCR ≈ 1.45 → above 1.25 covenant</t>
        </is>
      </c>
    </row>
    <row r="29">
      <c r="B29" s="35" t="inlineStr">
        <is>
          <t>BREAKING POINT: AT &lt; 0.6 OR NM &lt; 3% triggers covenant breach (DSCR &lt; 1.25)</t>
        </is>
      </c>
    </row>
    <row r="30">
      <c r="B30" s="8" t="inlineStr">
        <is>
          <t>Mitigant: At optimal D/V = 70%, debt service is high — emphasizes need for stable AT and NM</t>
        </is>
      </c>
    </row>
  </sheetData>
  <mergeCells count="6">
    <mergeCell ref="B4:N4"/>
    <mergeCell ref="B30:N30"/>
    <mergeCell ref="B29:N29"/>
    <mergeCell ref="B6:N6"/>
    <mergeCell ref="B2:N2"/>
    <mergeCell ref="B28:N28"/>
  </mergeCells>
  <conditionalFormatting sqref="C16:N26">
    <cfRule type="cellIs" priority="1" operator="greaterThanOrEqual" dxfId="0">
      <formula>1.25</formula>
    </cfRule>
    <cfRule type="cellIs" priority="2" operator="between" dxfId="1">
      <formula>1.0</formula>
      <formula>1.249</formula>
    </cfRule>
    <cfRule type="cellIs" priority="3" operator="lessThan" dxfId="2">
      <formula>1.0</formula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G36"/>
  <sheetViews>
    <sheetView workbookViewId="0">
      <selection activeCell="A1" sqref="A1"/>
    </sheetView>
  </sheetViews>
  <sheetFormatPr baseColWidth="8" defaultRowHeight="15"/>
  <cols>
    <col width="32" customWidth="1" min="2" max="2"/>
    <col width="14" customWidth="1" min="3" max="3"/>
    <col width="14" customWidth="1" min="4" max="4"/>
    <col width="14" customWidth="1" min="5" max="5"/>
    <col width="30" customWidth="1" min="6" max="6"/>
  </cols>
  <sheetData>
    <row r="2" ht="28" customHeight="1">
      <c r="B2" s="1" t="inlineStr">
        <is>
          <t>10,000 MONTE CARLO SIMULATIONS — IRR &amp; NPV DISTRIBUTION</t>
        </is>
      </c>
    </row>
    <row r="4">
      <c r="B4" s="8" t="inlineStr">
        <is>
          <t>Stochastic drivers: Revenue growth ~ N(6%, 2%), EBITDA margin ~ N(13.2%, 2.5%), Brent oil shock from GARCH long-run vol. Sims run via Python (see notebook); summary below.</t>
        </is>
      </c>
    </row>
    <row r="6">
      <c r="B6" s="5" t="inlineStr">
        <is>
          <t>Stochastic drivers</t>
        </is>
      </c>
    </row>
    <row r="7">
      <c r="B7" s="6" t="inlineStr">
        <is>
          <t>Driver</t>
        </is>
      </c>
      <c r="C7" s="6" t="inlineStr">
        <is>
          <t>Distribution</t>
        </is>
      </c>
      <c r="D7" s="6" t="inlineStr">
        <is>
          <t>Mean</t>
        </is>
      </c>
      <c r="E7" s="6" t="inlineStr">
        <is>
          <t>Stdev</t>
        </is>
      </c>
      <c r="F7" s="6" t="inlineStr">
        <is>
          <t>Source</t>
        </is>
      </c>
    </row>
    <row r="8">
      <c r="B8" s="11" t="inlineStr">
        <is>
          <t>Revenue growth</t>
        </is>
      </c>
      <c r="C8" s="53" t="inlineStr">
        <is>
          <t>Normal</t>
        </is>
      </c>
      <c r="D8" s="53" t="inlineStr">
        <is>
          <t>6.0%</t>
        </is>
      </c>
      <c r="E8" s="53" t="inlineStr">
        <is>
          <t>2.0%</t>
        </is>
      </c>
      <c r="F8" s="53" t="inlineStr">
        <is>
          <t>Peer-calibrated (455 Industrials)</t>
        </is>
      </c>
    </row>
    <row r="9">
      <c r="B9" s="11" t="inlineStr">
        <is>
          <t>EBITDA margin</t>
        </is>
      </c>
      <c r="C9" s="53" t="inlineStr">
        <is>
          <t>Normal</t>
        </is>
      </c>
      <c r="D9" s="53" t="inlineStr">
        <is>
          <t>13.2%</t>
        </is>
      </c>
      <c r="E9" s="53" t="inlineStr">
        <is>
          <t>2.5%</t>
        </is>
      </c>
      <c r="F9" s="53" t="inlineStr">
        <is>
          <t>Peer median</t>
        </is>
      </c>
    </row>
    <row r="10">
      <c r="B10" s="11" t="inlineStr">
        <is>
          <t>Brent oil shock</t>
        </is>
      </c>
      <c r="C10" s="53" t="inlineStr">
        <is>
          <t>Normal</t>
        </is>
      </c>
      <c r="D10" s="53" t="inlineStr">
        <is>
          <t>0%</t>
        </is>
      </c>
      <c r="E10" s="53" t="inlineStr">
        <is>
          <t>26.4%</t>
        </is>
      </c>
      <c r="F10" s="53" t="inlineStr">
        <is>
          <t>GARCH long-run vol × √(0.25) quarterly</t>
        </is>
      </c>
    </row>
    <row r="11">
      <c r="B11" s="11" t="inlineStr">
        <is>
          <t>Tax rate</t>
        </is>
      </c>
      <c r="C11" s="53" t="inlineStr">
        <is>
          <t>Fixed</t>
        </is>
      </c>
      <c r="D11" s="53" t="inlineStr">
        <is>
          <t>22.7%</t>
        </is>
      </c>
      <c r="E11" s="53" t="inlineStr">
        <is>
          <t>—</t>
        </is>
      </c>
      <c r="F11" s="53" t="inlineStr">
        <is>
          <t>Peer median</t>
        </is>
      </c>
    </row>
    <row r="12">
      <c r="B12" s="11" t="inlineStr">
        <is>
          <t>Discount rate</t>
        </is>
      </c>
      <c r="C12" s="53" t="inlineStr">
        <is>
          <t>Fixed</t>
        </is>
      </c>
      <c r="D12" s="53" t="inlineStr">
        <is>
          <t>7.75%</t>
        </is>
      </c>
      <c r="E12" s="53" t="inlineStr">
        <is>
          <t>—</t>
        </is>
      </c>
      <c r="F12" s="53" t="inlineStr">
        <is>
          <t>Optimal WACC from MM</t>
        </is>
      </c>
    </row>
    <row r="14">
      <c r="B14" s="5" t="inlineStr">
        <is>
          <t>Results from 10,000 simulations</t>
        </is>
      </c>
    </row>
    <row r="15">
      <c r="B15" s="6" t="inlineStr">
        <is>
          <t>Statistic</t>
        </is>
      </c>
      <c r="C15" s="6" t="inlineStr">
        <is>
          <t>IRR (%)</t>
        </is>
      </c>
      <c r="D15" s="6" t="inlineStr">
        <is>
          <t>NPV ($M)</t>
        </is>
      </c>
    </row>
    <row r="16">
      <c r="B16" s="11" t="inlineStr">
        <is>
          <t>Mean</t>
        </is>
      </c>
      <c r="C16" s="54" t="n">
        <v>12.79</v>
      </c>
      <c r="D16" s="55" t="n">
        <v>111.7</v>
      </c>
    </row>
    <row r="17">
      <c r="B17" s="11" t="inlineStr">
        <is>
          <t>Median</t>
        </is>
      </c>
      <c r="C17" s="54" t="n">
        <v>13.01</v>
      </c>
      <c r="D17" s="55" t="n">
        <v>105.2</v>
      </c>
    </row>
    <row r="18">
      <c r="B18" s="11" t="inlineStr">
        <is>
          <t>Stdev</t>
        </is>
      </c>
      <c r="C18" s="54" t="n">
        <v>4.18</v>
      </c>
      <c r="D18" s="53" t="n"/>
    </row>
    <row r="19">
      <c r="B19" s="11" t="inlineStr">
        <is>
          <t>P5</t>
        </is>
      </c>
      <c r="C19" s="54" t="n">
        <v>5.61</v>
      </c>
      <c r="D19" s="53" t="n"/>
    </row>
    <row r="20">
      <c r="B20" s="11" t="inlineStr">
        <is>
          <t>P25</t>
        </is>
      </c>
      <c r="C20" s="54" t="n">
        <v>10.1</v>
      </c>
      <c r="D20" s="53" t="n"/>
    </row>
    <row r="21">
      <c r="B21" s="11" t="inlineStr">
        <is>
          <t>P75</t>
        </is>
      </c>
      <c r="C21" s="54" t="n">
        <v>15.5</v>
      </c>
      <c r="D21" s="53" t="n"/>
    </row>
    <row r="22">
      <c r="B22" s="11" t="inlineStr">
        <is>
          <t>P95</t>
        </is>
      </c>
      <c r="C22" s="54" t="n">
        <v>19.16</v>
      </c>
      <c r="D22" s="53" t="n"/>
    </row>
    <row r="23">
      <c r="B23" s="11" t="inlineStr">
        <is>
          <t>Min</t>
        </is>
      </c>
      <c r="C23" s="54" t="n">
        <v>-2</v>
      </c>
      <c r="D23" s="53" t="n"/>
    </row>
    <row r="24">
      <c r="B24" s="11" t="inlineStr">
        <is>
          <t>Max</t>
        </is>
      </c>
      <c r="C24" s="54" t="n">
        <v>28.5</v>
      </c>
      <c r="D24" s="53" t="n"/>
    </row>
    <row r="27">
      <c r="B27" s="5" t="inlineStr">
        <is>
          <t>Risk metrics</t>
        </is>
      </c>
    </row>
    <row r="28">
      <c r="B28" t="inlineStr">
        <is>
          <t>P(IRR &lt; WACC = 7.75%)</t>
        </is>
      </c>
      <c r="C28" s="56" t="n">
        <v>0.1143</v>
      </c>
    </row>
    <row r="29">
      <c r="B29" t="inlineStr">
        <is>
          <t>P(NPV &lt; 0)</t>
        </is>
      </c>
      <c r="C29" s="56" t="n">
        <v>0.1143</v>
      </c>
    </row>
    <row r="30">
      <c r="B30" t="inlineStr">
        <is>
          <t>P(IRR &lt; 5%) — extreme downside</t>
        </is>
      </c>
      <c r="C30" s="57" t="n">
        <v>0.04</v>
      </c>
    </row>
    <row r="31">
      <c r="B31" t="inlineStr">
        <is>
          <t>P(IRR &gt; 15%) — strong upside</t>
        </is>
      </c>
      <c r="C31" s="48" t="n">
        <v>0.31</v>
      </c>
    </row>
    <row r="33">
      <c r="B33" s="35" t="inlineStr">
        <is>
          <t>HERO FINDING</t>
        </is>
      </c>
    </row>
    <row r="34">
      <c r="B34" s="8" t="inlineStr">
        <is>
          <t>11.4% probability of IRR underperforming WACC — moderate downside risk</t>
        </is>
      </c>
    </row>
    <row r="35">
      <c r="B35" s="8" t="inlineStr">
        <is>
          <t>Median IRR ≈ static IRR (13.0% ≈ 13.1%) → calibration is unbiased</t>
        </is>
      </c>
    </row>
    <row r="36">
      <c r="B36" s="8" t="inlineStr">
        <is>
          <t>P5 IRR = 5.6% — even in tail scenarios, project still earns positive nominal return</t>
        </is>
      </c>
    </row>
  </sheetData>
  <mergeCells count="8">
    <mergeCell ref="B2:G2"/>
    <mergeCell ref="B34:G34"/>
    <mergeCell ref="B36:G36"/>
    <mergeCell ref="B14:G14"/>
    <mergeCell ref="B27:G27"/>
    <mergeCell ref="B35:G35"/>
    <mergeCell ref="B4:G4"/>
    <mergeCell ref="B6:G6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2:G28"/>
  <sheetViews>
    <sheetView workbookViewId="0">
      <selection activeCell="A1" sqref="A1"/>
    </sheetView>
  </sheetViews>
  <sheetFormatPr baseColWidth="8" defaultRowHeight="15"/>
  <cols>
    <col width="38" customWidth="1" min="2" max="2"/>
    <col width="14" customWidth="1" min="3" max="3"/>
    <col width="14" customWidth="1" min="4" max="4"/>
    <col width="38" customWidth="1" min="5" max="5"/>
  </cols>
  <sheetData>
    <row r="2" ht="28" customHeight="1">
      <c r="B2" s="1" t="inlineStr">
        <is>
          <t>BLACK-SCHOLES REAL OPTION — Option to Expand at Year 5</t>
        </is>
      </c>
    </row>
    <row r="4">
      <c r="B4" s="8" t="inlineStr">
        <is>
          <t>C = S·N(d1) - K·e^(-rT)·N(d2). Volatility from GARCH(1,1) long-run estimate on Brent crude.</t>
        </is>
      </c>
    </row>
    <row r="6">
      <c r="B6" s="5" t="inlineStr">
        <is>
          <t>Inputs</t>
        </is>
      </c>
    </row>
    <row r="7">
      <c r="B7" t="inlineStr">
        <is>
          <t>S — PV of expansion cash flows ($M)</t>
        </is>
      </c>
      <c r="C7" s="44">
        <f>OptS</f>
        <v/>
      </c>
      <c r="D7" s="8" t="inlineStr">
        <is>
          <t>Capacity to add 50% more output post-Y5</t>
        </is>
      </c>
    </row>
    <row r="8">
      <c r="B8" t="inlineStr">
        <is>
          <t>K — strike (additional capex, $M)</t>
        </is>
      </c>
      <c r="C8" s="44">
        <f>OptK</f>
        <v/>
      </c>
      <c r="D8" s="8" t="inlineStr">
        <is>
          <t>Cost to exercise expansion option</t>
        </is>
      </c>
    </row>
    <row r="9">
      <c r="B9" t="inlineStr">
        <is>
          <t>T — years to expiry</t>
        </is>
      </c>
      <c r="C9" s="58">
        <f>OptT</f>
        <v/>
      </c>
      <c r="D9" s="8" t="inlineStr">
        <is>
          <t>5-year option (mid-project decision)</t>
        </is>
      </c>
    </row>
    <row r="10">
      <c r="B10" t="inlineStr">
        <is>
          <t>σ — volatility (GARCH long-run)</t>
        </is>
      </c>
      <c r="C10" s="59">
        <f>OilVol/100</f>
        <v/>
      </c>
      <c r="D10" s="8" t="inlineStr">
        <is>
          <t>Annualized vol from GARCH(1,1) on Brent</t>
        </is>
      </c>
    </row>
    <row r="11">
      <c r="B11" t="inlineStr">
        <is>
          <t>r — risk-free rate</t>
        </is>
      </c>
      <c r="C11" s="59">
        <f>Rf/100</f>
        <v/>
      </c>
      <c r="D11" s="8" t="inlineStr">
        <is>
          <t>DGS10 1-yr average</t>
        </is>
      </c>
    </row>
    <row r="14">
      <c r="B14" s="5" t="inlineStr">
        <is>
          <t>Black-Scholes calculation</t>
        </is>
      </c>
    </row>
    <row r="15">
      <c r="B15" t="inlineStr">
        <is>
          <t>d1 = (ln(S/K) + (r + σ²/2)·T) / (σ·√T)</t>
        </is>
      </c>
      <c r="C15" s="60">
        <f>(LN(C7/C8) + (C11 + C10^2/2)*C9) / (C10 * SQRT(C9))</f>
        <v/>
      </c>
    </row>
    <row r="16">
      <c r="B16" t="inlineStr">
        <is>
          <t>d2 = d1 - σ·√T</t>
        </is>
      </c>
      <c r="C16" s="60">
        <f>C15 - C10 * SQRT(C9)</f>
        <v/>
      </c>
    </row>
    <row r="17">
      <c r="B17" t="inlineStr">
        <is>
          <t>N(d1)</t>
        </is>
      </c>
      <c r="C17" s="60">
        <f>NORMDIST(C15, 0, 1, TRUE)</f>
        <v/>
      </c>
    </row>
    <row r="18">
      <c r="B18" t="inlineStr">
        <is>
          <t>N(d2)</t>
        </is>
      </c>
      <c r="C18" s="60">
        <f>NORMDIST(C16, 0, 1, TRUE)</f>
        <v/>
      </c>
    </row>
    <row r="19">
      <c r="B19" t="inlineStr">
        <is>
          <t>Discount factor (e^-rT)</t>
        </is>
      </c>
      <c r="C19" s="60">
        <f>EXP(-C11 * C9)</f>
        <v/>
      </c>
    </row>
    <row r="20">
      <c r="B20" s="39" t="inlineStr">
        <is>
          <t>C = S·N(d1) - K·e^(-rT)·N(d2)</t>
        </is>
      </c>
      <c r="C20" s="61">
        <f>C7 * C17 - C8 * C19 * C18</f>
        <v/>
      </c>
    </row>
    <row r="22">
      <c r="B22" t="inlineStr">
        <is>
          <t>Intrinsic value: MAX(S - K, 0)</t>
        </is>
      </c>
      <c r="C22" s="62">
        <f>MAX(C7 - C8, 0)</f>
        <v/>
      </c>
    </row>
    <row r="23">
      <c r="B23" t="inlineStr">
        <is>
          <t>Time value: C - Intrinsic</t>
        </is>
      </c>
      <c r="C23" s="62">
        <f>C20 - C22</f>
        <v/>
      </c>
    </row>
    <row r="25">
      <c r="B25" s="35" t="inlineStr">
        <is>
          <t>HERO FINDING</t>
        </is>
      </c>
    </row>
    <row r="26">
      <c r="B26" s="8" t="inlineStr">
        <is>
          <t>Real option value: $92M — substantial flexibility premium</t>
        </is>
      </c>
    </row>
    <row r="27">
      <c r="B27" s="8" t="inlineStr">
        <is>
          <t>Time value alone is $42M — driven by GARCH long-run vol of 52.7%</t>
        </is>
      </c>
    </row>
    <row r="28">
      <c r="B28" s="2" t="inlineStr">
        <is>
          <t>Total project value = Static NPV + Real Option = $107M + $92M = $199M</t>
        </is>
      </c>
    </row>
  </sheetData>
  <mergeCells count="7">
    <mergeCell ref="B2:G2"/>
    <mergeCell ref="B28:G28"/>
    <mergeCell ref="B14:G14"/>
    <mergeCell ref="B27:G27"/>
    <mergeCell ref="B4:G4"/>
    <mergeCell ref="B26:G26"/>
    <mergeCell ref="B6:G6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B2:G33"/>
  <sheetViews>
    <sheetView workbookViewId="0">
      <selection activeCell="A1" sqref="A1"/>
    </sheetView>
  </sheetViews>
  <sheetFormatPr baseColWidth="8" defaultRowHeight="15"/>
  <cols>
    <col width="30" customWidth="1" min="2" max="2"/>
    <col width="14" customWidth="1" min="3" max="3"/>
    <col width="12" customWidth="1" min="4" max="4"/>
    <col width="12" customWidth="1" min="5" max="5"/>
    <col width="32" customWidth="1" min="6" max="6"/>
    <col width="16" customWidth="1" min="7" max="7"/>
  </cols>
  <sheetData>
    <row r="2" ht="28" customHeight="1">
      <c r="B2" s="1" t="inlineStr">
        <is>
          <t>DECISION SUMMARY — RISK-ADJUSTED VALUATION AUDIT</t>
        </is>
      </c>
    </row>
    <row r="4">
      <c r="B4" s="5" t="inlineStr">
        <is>
          <t>HERO METRICS</t>
        </is>
      </c>
    </row>
    <row r="5">
      <c r="B5" s="6" t="inlineStr">
        <is>
          <t>KPI</t>
        </is>
      </c>
      <c r="C5" s="6" t="inlineStr">
        <is>
          <t>Value</t>
        </is>
      </c>
      <c r="D5" s="6" t="inlineStr">
        <is>
          <t>Format</t>
        </is>
      </c>
      <c r="E5" s="6" t="inlineStr">
        <is>
          <t>Source</t>
        </is>
      </c>
    </row>
    <row r="6">
      <c r="B6" s="11" t="inlineStr">
        <is>
          <t>Optimal D/V</t>
        </is>
      </c>
      <c r="C6" s="63">
        <f>Opt_DV</f>
        <v/>
      </c>
      <c r="D6" s="53" t="n"/>
      <c r="E6" s="15" t="inlineStr">
        <is>
          <t>MM curve minimum</t>
        </is>
      </c>
    </row>
    <row r="7">
      <c r="B7" s="11" t="inlineStr">
        <is>
          <t>Min WACC</t>
        </is>
      </c>
      <c r="C7" s="64">
        <f>Opt_WACC</f>
        <v/>
      </c>
      <c r="D7" s="53" t="n"/>
      <c r="E7" s="15" t="inlineStr">
        <is>
          <t>At optimal capital structure</t>
        </is>
      </c>
    </row>
    <row r="8">
      <c r="B8" s="11" t="inlineStr">
        <is>
          <t>Cost of equity (Blended)</t>
        </is>
      </c>
      <c r="C8" s="64">
        <f>Ke_Blend</f>
        <v/>
      </c>
      <c r="D8" s="53" t="n"/>
      <c r="E8" s="15" t="inlineStr">
        <is>
          <t>CAPM + APT 3-factor average</t>
        </is>
      </c>
    </row>
    <row r="9">
      <c r="B9" s="11" t="inlineStr">
        <is>
          <t>Project IRR</t>
        </is>
      </c>
      <c r="C9" s="65">
        <f>Project_IRR</f>
        <v/>
      </c>
      <c r="D9" s="53" t="n"/>
      <c r="E9" s="15" t="inlineStr">
        <is>
          <t>From 10-yr DCF</t>
        </is>
      </c>
    </row>
    <row r="10">
      <c r="B10" s="11" t="inlineStr">
        <is>
          <t>Static NPV</t>
        </is>
      </c>
      <c r="C10" s="66">
        <f>Project_NPV</f>
        <v/>
      </c>
      <c r="D10" s="53" t="n"/>
      <c r="E10" s="15" t="inlineStr">
        <is>
          <t>@ optimal WACC</t>
        </is>
      </c>
    </row>
    <row r="11">
      <c r="B11" s="11" t="inlineStr">
        <is>
          <t>Real option value</t>
        </is>
      </c>
      <c r="C11" s="66">
        <f>Real_Option!C20</f>
        <v/>
      </c>
      <c r="D11" s="53" t="n"/>
      <c r="E11" s="15" t="inlineStr">
        <is>
          <t>Option to expand</t>
        </is>
      </c>
    </row>
    <row r="12">
      <c r="B12" s="11" t="inlineStr">
        <is>
          <t>Total risk-adjusted value</t>
        </is>
      </c>
      <c r="C12" s="66">
        <f>Project_NPV + Real_Option!C20</f>
        <v/>
      </c>
      <c r="D12" s="53" t="n"/>
      <c r="E12" s="15" t="inlineStr">
        <is>
          <t>Static NPV + flexibility</t>
        </is>
      </c>
    </row>
    <row r="13">
      <c r="B13" s="11" t="inlineStr">
        <is>
          <t>P(IRR &lt; WACC) | 10K MC</t>
        </is>
      </c>
      <c r="C13" s="65" t="n">
        <v>0.1143</v>
      </c>
      <c r="D13" s="53" t="n"/>
      <c r="E13" s="15" t="inlineStr">
        <is>
          <t>Monte Carlo</t>
        </is>
      </c>
    </row>
    <row r="14">
      <c r="B14" s="11" t="inlineStr">
        <is>
          <t>GARCH long-run vol</t>
        </is>
      </c>
      <c r="C14" s="67">
        <f>OilVol</f>
        <v/>
      </c>
      <c r="D14" s="53" t="n"/>
      <c r="E14" s="15" t="inlineStr">
        <is>
          <t>Brent annualized</t>
        </is>
      </c>
    </row>
    <row r="17">
      <c r="B17" s="35" t="inlineStr">
        <is>
          <t>RECOMMENDATION</t>
        </is>
      </c>
    </row>
    <row r="18">
      <c r="B18" s="6" t="inlineStr">
        <is>
          <t>Decision</t>
        </is>
      </c>
      <c r="C18" s="6" t="inlineStr">
        <is>
          <t>Recommendation</t>
        </is>
      </c>
    </row>
    <row r="19">
      <c r="B19" s="11" t="inlineStr">
        <is>
          <t>Capital structure</t>
        </is>
      </c>
      <c r="C19" s="18" t="inlineStr">
        <is>
          <t>70% debt / 30% equity (vs current 42.8%) — saves $20M+ on WACC reduction</t>
        </is>
      </c>
      <c r="D19" s="53" t="n"/>
      <c r="E19" s="53" t="n"/>
      <c r="F19" s="53" t="n"/>
      <c r="G19" s="53" t="n"/>
    </row>
    <row r="20">
      <c r="B20" s="11" t="inlineStr">
        <is>
          <t>Debt instrument</t>
        </is>
      </c>
      <c r="C20" s="18" t="inlineStr">
        <is>
          <t>$200M senior notes at BAA yield (~6.0%) + $100M expansion option (Y5)</t>
        </is>
      </c>
      <c r="D20" s="53" t="n"/>
      <c r="E20" s="53" t="n"/>
      <c r="F20" s="53" t="n"/>
      <c r="G20" s="53" t="n"/>
    </row>
    <row r="21">
      <c r="B21" s="11" t="inlineStr">
        <is>
          <t>Funding mix</t>
        </is>
      </c>
      <c r="C21" s="18" t="inlineStr">
        <is>
          <t>$140M senior debt + $60M subordinated, blended cost ≈ 6.5%</t>
        </is>
      </c>
      <c r="D21" s="53" t="n"/>
      <c r="E21" s="53" t="n"/>
      <c r="F21" s="53" t="n"/>
      <c r="G21" s="53" t="n"/>
    </row>
    <row r="22">
      <c r="B22" s="11" t="inlineStr">
        <is>
          <t>Risk overlay</t>
        </is>
      </c>
      <c r="C22" s="18" t="inlineStr">
        <is>
          <t>Brent hedge for 50% of feedstock exposure; covenant: DSCR &gt; 1.25 (peer-comfortable)</t>
        </is>
      </c>
      <c r="D22" s="53" t="n"/>
      <c r="E22" s="53" t="n"/>
      <c r="F22" s="53" t="n"/>
      <c r="G22" s="53" t="n"/>
    </row>
    <row r="23">
      <c r="B23" s="11" t="inlineStr">
        <is>
          <t>Decision criterion</t>
        </is>
      </c>
      <c r="C23" s="18" t="inlineStr">
        <is>
          <t>Static IRR 13.1% &gt; WACC 7.75% (5.3pp margin); only 11.4% downside risk</t>
        </is>
      </c>
      <c r="D23" s="53" t="n"/>
      <c r="E23" s="53" t="n"/>
      <c r="F23" s="53" t="n"/>
      <c r="G23" s="53" t="n"/>
    </row>
    <row r="24">
      <c r="B24" s="68" t="inlineStr">
        <is>
          <t>Final answer</t>
        </is>
      </c>
      <c r="C24" s="69" t="inlineStr">
        <is>
          <t>✅ PROCEED with $200M expansion at 70% leverage — all 4 hurdles cleared</t>
        </is>
      </c>
      <c r="D24" s="70" t="n"/>
      <c r="E24" s="70" t="n"/>
      <c r="F24" s="70" t="n"/>
      <c r="G24" s="70" t="n"/>
    </row>
    <row r="27">
      <c r="B27" s="5" t="inlineStr">
        <is>
          <t>RISK REGISTER</t>
        </is>
      </c>
    </row>
    <row r="28">
      <c r="B28" s="6" t="inlineStr">
        <is>
          <t>Risk</t>
        </is>
      </c>
      <c r="C28" s="6" t="inlineStr">
        <is>
          <t>Likelihood</t>
        </is>
      </c>
      <c r="D28" s="6" t="inlineStr">
        <is>
          <t>Impact</t>
        </is>
      </c>
      <c r="E28" s="6" t="inlineStr">
        <is>
          <t>Mitigant</t>
        </is>
      </c>
    </row>
    <row r="29">
      <c r="B29" s="11" t="inlineStr">
        <is>
          <t>Brent oil price spike (&gt;+30%)</t>
        </is>
      </c>
      <c r="C29" s="13" t="inlineStr">
        <is>
          <t>Medium</t>
        </is>
      </c>
      <c r="D29" s="13" t="inlineStr">
        <is>
          <t>High</t>
        </is>
      </c>
      <c r="E29" s="13" t="inlineStr">
        <is>
          <t>Hedge 50% feedstock; option to delay expansion</t>
        </is>
      </c>
    </row>
    <row r="30">
      <c r="B30" s="11" t="inlineStr">
        <is>
          <t>Interest rate rise (DGS10 +200bps)</t>
        </is>
      </c>
      <c r="C30" s="13" t="inlineStr">
        <is>
          <t>Medium</t>
        </is>
      </c>
      <c r="D30" s="13" t="inlineStr">
        <is>
          <t>Medium</t>
        </is>
      </c>
      <c r="E30" s="13" t="inlineStr">
        <is>
          <t>Lock fixed-rate debt at issuance; rate cap on $50M floating tranche</t>
        </is>
      </c>
    </row>
    <row r="31">
      <c r="B31" s="11" t="inlineStr">
        <is>
          <t>Asset turnover decline (&lt;0.6)</t>
        </is>
      </c>
      <c r="C31" s="13" t="inlineStr">
        <is>
          <t>Low</t>
        </is>
      </c>
      <c r="D31" s="13" t="inlineStr">
        <is>
          <t>High</t>
        </is>
      </c>
      <c r="E31" s="13" t="inlineStr">
        <is>
          <t>Quarterly DSCR monitoring; covenant headroom 20%</t>
        </is>
      </c>
    </row>
    <row r="32">
      <c r="B32" s="11" t="inlineStr">
        <is>
          <t>Recession (revenue -20%)</t>
        </is>
      </c>
      <c r="C32" s="13" t="inlineStr">
        <is>
          <t>Low-Med</t>
        </is>
      </c>
      <c r="D32" s="13" t="inlineStr">
        <is>
          <t>High</t>
        </is>
      </c>
      <c r="E32" s="13" t="inlineStr">
        <is>
          <t>Phased capex (3 tranches); option to defer expansion</t>
        </is>
      </c>
    </row>
    <row r="33">
      <c r="B33" s="11" t="inlineStr">
        <is>
          <t>Inflation overshoot (CPI &gt; 5%)</t>
        </is>
      </c>
      <c r="C33" s="13" t="inlineStr">
        <is>
          <t>Medium</t>
        </is>
      </c>
      <c r="D33" s="13" t="inlineStr">
        <is>
          <t>Medium</t>
        </is>
      </c>
      <c r="E33" s="13" t="inlineStr">
        <is>
          <t>Cost-pass-through to customers; 60% of contracts indexed</t>
        </is>
      </c>
    </row>
  </sheetData>
  <mergeCells count="10">
    <mergeCell ref="B2:G2"/>
    <mergeCell ref="C21:G21"/>
    <mergeCell ref="C20:G20"/>
    <mergeCell ref="C24:G24"/>
    <mergeCell ref="B17:G17"/>
    <mergeCell ref="B27:G27"/>
    <mergeCell ref="B4:G4"/>
    <mergeCell ref="C19:G19"/>
    <mergeCell ref="C23:G23"/>
    <mergeCell ref="C22:G2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2026-05-10T02:22:09Z</dcterms:created>
  <dcterms:modified xmlns:dcterms="http://purl.org/dc/terms/" xmlns:xsi="http://www.w3.org/2001/XMLSchema-instance" xsi:type="dcterms:W3CDTF">2026-05-10T02:22:09Z</dcterms:modified>
</cp:coreProperties>
</file>