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Macro_India" sheetId="3" state="visible" r:id="rId5"/>
    <sheet name="Scenarios" sheetId="4" state="visible" r:id="rId6"/>
    <sheet name="Model" sheetId="5" state="visible" r:id="rId7"/>
    <sheet name="Sensitivity" sheetId="6" state="visible" r:id="rId8"/>
    <sheet name="Summary" sheetId="7" state="visible" r:id="rId9"/>
  </sheets>
  <definedNames>
    <definedName function="false" hidden="false" name="Active_AttrMult" vbProcedure="false">Scenarios!$C$19</definedName>
    <definedName function="false" hidden="false" name="Active_CPI" vbProcedure="false">Scenarios!$C$16</definedName>
    <definedName function="false" hidden="false" name="Active_Repo" vbProcedure="false">Scenarios!$C$17</definedName>
    <definedName function="false" hidden="false" name="Active_SalInfl" vbProcedure="false">Scenarios!$C$18</definedName>
    <definedName function="false" hidden="false" name="Attr_GA" vbProcedure="false">Inputs!$C$19</definedName>
    <definedName function="false" hidden="false" name="Attr_RD" vbProcedure="false">Inputs!$C$17</definedName>
    <definedName function="false" hidden="false" name="Attr_Sales" vbProcedure="false">Inputs!$C$18</definedName>
    <definedName function="false" hidden="false" name="Hc_GA_Share" vbProcedure="false">Inputs!$C$9</definedName>
    <definedName function="false" hidden="false" name="Hc_RD_Share" vbProcedure="false">Inputs!$C$7</definedName>
    <definedName function="false" hidden="false" name="Hc_Sales_Share" vbProcedure="false">Inputs!$C$8</definedName>
    <definedName function="false" hidden="false" name="Hc_Total" vbProcedure="false">Inputs!$C$6</definedName>
    <definedName function="false" hidden="false" name="Inc_GA" vbProcedure="false">Inputs!$C$16</definedName>
    <definedName function="false" hidden="false" name="Inc_RD" vbProcedure="false">Inputs!$C$14</definedName>
    <definedName function="false" hidden="false" name="Inc_Sales" vbProcedure="false">Inputs!$C$15</definedName>
    <definedName function="false" hidden="false" name="Replace_Cost" vbProcedure="false">Inputs!$C$20</definedName>
    <definedName function="false" hidden="false" name="Scen_Attr_Range" vbProcedure="false">Scenarios!$C$11:$E$11</definedName>
    <definedName function="false" hidden="false" name="Scen_CPI_Range" vbProcedure="false">Scenarios!$C$8:$E$8</definedName>
    <definedName function="false" hidden="false" name="Scen_Repo_Range" vbProcedure="false">Scenarios!$C$9:$E$9</definedName>
    <definedName function="false" hidden="false" name="Scen_Sal_Range" vbProcedure="false">Scenarios!$C$10:$E$10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<sst xmlns="http://schemas.openxmlformats.org/spreadsheetml/2006/main" count="171" uniqueCount="150">
  <si>
    <t xml:space="preserve">Market Feasibility Model</t>
  </si>
  <si>
    <t xml:space="preserve">Consult-Tech Engagement: New R&amp;D Centre, Bengaluru, India</t>
  </si>
  <si>
    <t xml:space="preserve">Engagement Brief</t>
  </si>
  <si>
    <t xml:space="preserve">Consult-Tech is advising a global tech client on opening a new R&amp;D centre in Bengaluru, India. The region offers strong technical talent depth but historically elevated CPI inflation and a tight labour market. The client is concurrently managing high attrition in its existing operations. This model tests three macroeconomic scenarios against a 200-employee plan to quantify year-1 operating cost and identify when the engagement should proceed, pause, or renegotiate scope.</t>
  </si>
  <si>
    <t xml:space="preserve">Methodology</t>
  </si>
  <si>
    <t xml:space="preserve">Workforce baseline</t>
  </si>
  <si>
    <t xml:space="preserve">IBM HR Analytics dataset (1,470 employees, 35 fields)</t>
  </si>
  <si>
    <t xml:space="preserve">Macro indicators</t>
  </si>
  <si>
    <t xml:space="preserve">Reserve Bank of India + World Bank, 2015-2025</t>
  </si>
  <si>
    <t xml:space="preserve">Scenario framework</t>
  </si>
  <si>
    <t xml:space="preserve">3 named scenarios (Best/Base/Stress) anchored to actual India 11-yr range</t>
  </si>
  <si>
    <t xml:space="preserve">Confidence approach</t>
  </si>
  <si>
    <t xml:space="preserve">95% CIs on JobSatisfaction via CLT (separate Power BI deliverable)</t>
  </si>
  <si>
    <t xml:space="preserve">How to use this workbook</t>
  </si>
  <si>
    <t xml:space="preserve">1. Inputs tab</t>
  </si>
  <si>
    <t xml:space="preserve">Edit BLUE cells to update assumptions (headcount, salary baselines)</t>
  </si>
  <si>
    <t xml:space="preserve">2. Scenarios tab</t>
  </si>
  <si>
    <t xml:space="preserve">Edit the 3 scenario rows directly to test different macro states</t>
  </si>
  <si>
    <t xml:space="preserve">3. Model tab</t>
  </si>
  <si>
    <t xml:space="preserve">Live cost calculation - read-only, formulas reference the above tabs</t>
  </si>
  <si>
    <t xml:space="preserve">4. Sensitivity</t>
  </si>
  <si>
    <t xml:space="preserve">2-D data table showing cost across CPI x attrition multiplier grid</t>
  </si>
  <si>
    <t xml:space="preserve">5. Summary</t>
  </si>
  <si>
    <t xml:space="preserve">Executive-ready 3-scenario comparison and recommendation</t>
  </si>
  <si>
    <t xml:space="preserve">Color coding key</t>
  </si>
  <si>
    <t xml:space="preserve">BLUE TEXT</t>
  </si>
  <si>
    <t xml:space="preserve">Hardcoded inputs - executives can edit these to test new assumptions</t>
  </si>
  <si>
    <t xml:space="preserve">BLACK TEXT</t>
  </si>
  <si>
    <t xml:space="preserve">Formulas - automatically recalculated, do not overwrite</t>
  </si>
  <si>
    <t xml:space="preserve">GREEN TEXT</t>
  </si>
  <si>
    <t xml:space="preserve">Cross-sheet links pulling from Inputs, Macro_India, or Scenarios tabs</t>
  </si>
  <si>
    <t xml:space="preserve">YELLOW BACKGROUND</t>
  </si>
  <si>
    <t xml:space="preserve">Key assumption cells - edit these first when stress-testing the model</t>
  </si>
  <si>
    <t xml:space="preserve">Inputs - Baseline Assumptions</t>
  </si>
  <si>
    <t xml:space="preserve">1. Headcount Plan</t>
  </si>
  <si>
    <t xml:space="preserve">Parameter</t>
  </si>
  <si>
    <t xml:space="preserve">Value</t>
  </si>
  <si>
    <t xml:space="preserve">Unit</t>
  </si>
  <si>
    <t xml:space="preserve">Note</t>
  </si>
  <si>
    <t xml:space="preserve">Total headcount (Year 1)</t>
  </si>
  <si>
    <t xml:space="preserve">people</t>
  </si>
  <si>
    <t xml:space="preserve">Plan signed off by client CHRO Q1 2026</t>
  </si>
  <si>
    <t xml:space="preserve">R&amp;D headcount share</t>
  </si>
  <si>
    <t xml:space="preserve">%</t>
  </si>
  <si>
    <t xml:space="preserve">Industry norm for greenfield R&amp;D centres</t>
  </si>
  <si>
    <t xml:space="preserve">Sales support share</t>
  </si>
  <si>
    <t xml:space="preserve">Local market support, account mgmt</t>
  </si>
  <si>
    <t xml:space="preserve">G&amp;A share</t>
  </si>
  <si>
    <t xml:space="preserve">HR + facilities + finance</t>
  </si>
  <si>
    <t xml:space="preserve">Share check (must = 100%)</t>
  </si>
  <si>
    <t xml:space="preserve">Auto-validated; should always equal 100%</t>
  </si>
  <si>
    <t xml:space="preserve">2. Baseline Cost Inputs (from IBM HR data)</t>
  </si>
  <si>
    <t xml:space="preserve">Avg monthly income - R&amp;D</t>
  </si>
  <si>
    <t xml:space="preserve">INR/mo</t>
  </si>
  <si>
    <t xml:space="preserve">IBM HR R&amp;D dept mean</t>
  </si>
  <si>
    <t xml:space="preserve">Avg monthly income - Sales</t>
  </si>
  <si>
    <t xml:space="preserve">IBM HR Sales dept mean</t>
  </si>
  <si>
    <t xml:space="preserve">Avg monthly income - G&amp;A</t>
  </si>
  <si>
    <t xml:space="preserve">IBM HR HR dept mean as proxy</t>
  </si>
  <si>
    <t xml:space="preserve">Baseline attrition - R&amp;D</t>
  </si>
  <si>
    <t xml:space="preserve">IBM HR R&amp;D 13.84%</t>
  </si>
  <si>
    <t xml:space="preserve">Baseline attrition - Sales</t>
  </si>
  <si>
    <t xml:space="preserve">IBM HR Sales 20.63%</t>
  </si>
  <si>
    <t xml:space="preserve">Baseline attrition - G&amp;A</t>
  </si>
  <si>
    <t xml:space="preserve">IBM HR HR 19.05%</t>
  </si>
  <si>
    <t xml:space="preserve">Replacement cost factor</t>
  </si>
  <si>
    <t xml:space="preserve">% of annual sal</t>
  </si>
  <si>
    <t xml:space="preserve">Industry avg 50-200%, conservative 75% chosen</t>
  </si>
  <si>
    <t xml:space="preserve">India Macro Indicators (2015 - 2025)</t>
  </si>
  <si>
    <t xml:space="preserve">Year</t>
  </si>
  <si>
    <t xml:space="preserve">CPI Inflation %</t>
  </si>
  <si>
    <t xml:space="preserve">RBI Repo Rate (EOY) %</t>
  </si>
  <si>
    <t xml:space="preserve">Real Interest Approx %</t>
  </si>
  <si>
    <t xml:space="preserve">Source / Note</t>
  </si>
  <si>
    <t xml:space="preserve">RBI cut from 7.75% to 6.75% during 2015</t>
  </si>
  <si>
    <t xml:space="preserve">Continued accommodation cycle</t>
  </si>
  <si>
    <t xml:space="preserve">Below-target inflation year</t>
  </si>
  <si>
    <t xml:space="preserve">Mid-cycle hike to 6.50% Aug 2018</t>
  </si>
  <si>
    <t xml:space="preserve">Aggressive easing as growth slowed</t>
  </si>
  <si>
    <t xml:space="preserve">COVID emergency cut to 4.00%</t>
  </si>
  <si>
    <t xml:space="preserve">Held at 4.00% through 2021</t>
  </si>
  <si>
    <t xml:space="preserve">Sharp tightening cycle May-Dec 2022</t>
  </si>
  <si>
    <t xml:space="preserve">Held at 6.50% all year</t>
  </si>
  <si>
    <t xml:space="preserve">Held at 6.50% through 2024</t>
  </si>
  <si>
    <t xml:space="preserve">Cut cycle: 6.50 to 5.25 across 2025</t>
  </si>
  <si>
    <t xml:space="preserve">Mean</t>
  </si>
  <si>
    <t xml:space="preserve">Median</t>
  </si>
  <si>
    <t xml:space="preserve">Min</t>
  </si>
  <si>
    <t xml:space="preserve">Max</t>
  </si>
  <si>
    <t xml:space="preserve">Source: World Bank API + RBI press releases. CPI = consumer price index, annual percentage change.</t>
  </si>
  <si>
    <t xml:space="preserve">Scenarios - Three Macro States</t>
  </si>
  <si>
    <t xml:space="preserve">Edit the BLUE cells below to test alternative scenarios. The Model and Summary tabs automatically recalculate. Each column is a complete scenario - the Model tab uses the column you select via the 'Active Scenario' picker.</t>
  </si>
  <si>
    <t xml:space="preserve">Best Case</t>
  </si>
  <si>
    <t xml:space="preserve">Base Case</t>
  </si>
  <si>
    <t xml:space="preserve">Stress Case</t>
  </si>
  <si>
    <t xml:space="preserve">(India 2025)</t>
  </si>
  <si>
    <t xml:space="preserve">(India median 2015-25)</t>
  </si>
  <si>
    <t xml:space="preserve">(India 2022/23 stress)</t>
  </si>
  <si>
    <t xml:space="preserve">RBI Repo Rate %</t>
  </si>
  <si>
    <t xml:space="preserve">Salary Inflation %</t>
  </si>
  <si>
    <t xml:space="preserve">Attrition Multiplier (x base)</t>
  </si>
  <si>
    <t xml:space="preserve">Active Scenario:</t>
  </si>
  <si>
    <t xml:space="preserve">(1=Best, 2=Base, 3=Stress)</t>
  </si>
  <si>
    <t xml:space="preserve">Active CPI %</t>
  </si>
  <si>
    <t xml:space="preserve">Active Repo Rate %</t>
  </si>
  <si>
    <t xml:space="preserve">Active Salary Inflation %</t>
  </si>
  <si>
    <t xml:space="preserve">Active Attrition Multiplier</t>
  </si>
  <si>
    <t xml:space="preserve">Model - Year 1 Operating Cost</t>
  </si>
  <si>
    <t xml:space="preserve">This sheet calculates Year 1 total operating cost using the inputs from the Inputs tab and the active scenario from the Scenarios tab. All formulas reference defined names so the model is robust to row/column inserts.</t>
  </si>
  <si>
    <t xml:space="preserve">Metric</t>
  </si>
  <si>
    <t xml:space="preserve">R&amp;D</t>
  </si>
  <si>
    <t xml:space="preserve">Sales</t>
  </si>
  <si>
    <t xml:space="preserve">G&amp;A</t>
  </si>
  <si>
    <t xml:space="preserve">Total</t>
  </si>
  <si>
    <t xml:space="preserve">Headcount</t>
  </si>
  <si>
    <t xml:space="preserve">Annual salary per head (baseline)</t>
  </si>
  <si>
    <t xml:space="preserve">Salary uplift factor (1 + active sal infl)</t>
  </si>
  <si>
    <t xml:space="preserve">Annual salary cost</t>
  </si>
  <si>
    <t xml:space="preserve">Attrition rate (baseline)</t>
  </si>
  <si>
    <t xml:space="preserve">x Active attrition multiplier</t>
  </si>
  <si>
    <t xml:space="preserve">Effective attrition rate</t>
  </si>
  <si>
    <t xml:space="preserve">Expected leavers</t>
  </si>
  <si>
    <t xml:space="preserve">Annual attrition cost</t>
  </si>
  <si>
    <t xml:space="preserve">TOTAL YEAR 1 COST</t>
  </si>
  <si>
    <t xml:space="preserve">Real cost @ active repo rate</t>
  </si>
  <si>
    <t xml:space="preserve">Cost per head (year 1)</t>
  </si>
  <si>
    <t xml:space="preserve">Defined names used in this sheet:</t>
  </si>
  <si>
    <t xml:space="preserve">Hc_Total, Hc_RD_Share, Hc_Sales_Share | Inc_RD, Inc_Sales, Inc_GA</t>
  </si>
  <si>
    <t xml:space="preserve">Attr_RD, Attr_Sales, Attr_GA | Replace_Cost</t>
  </si>
  <si>
    <t xml:space="preserve">Active_CPI, Active_Repo, Active_SalInfl, Active_AttrMult</t>
  </si>
  <si>
    <t xml:space="preserve">Sensitivity - Total Year 1 Cost (CPI x Attrition Multiplier)</t>
  </si>
  <si>
    <t xml:space="preserve">Each cell shows total year-1 cost computed from a hypothetical (CPI, attrition multiplier) pair. CPI here drives salary inflation via formula (salary_infl = CPI + 3pp talent premium). All other inputs are held at the values on the Inputs tab.</t>
  </si>
  <si>
    <t xml:space="preserve">Attrition Multiplier  v   |   CPI %  &gt;</t>
  </si>
  <si>
    <t xml:space="preserve">Values shown in thousands. Green = lower cost, Red = higher cost.</t>
  </si>
  <si>
    <t xml:space="preserve">Executive Summary - 3-Scenario Comparison</t>
  </si>
  <si>
    <t xml:space="preserve">Total headcount</t>
  </si>
  <si>
    <t xml:space="preserve">Salary inflation</t>
  </si>
  <si>
    <t xml:space="preserve">Attrition multiplier</t>
  </si>
  <si>
    <t xml:space="preserve">Cost per head</t>
  </si>
  <si>
    <t xml:space="preserve">Delta vs Base Case</t>
  </si>
  <si>
    <t xml:space="preserve">Delta vs Base Case (%)</t>
  </si>
  <si>
    <t xml:space="preserve">Recommendation</t>
  </si>
  <si>
    <t xml:space="preserve">Decision rule</t>
  </si>
  <si>
    <t xml:space="preserve">Proceed if year-1 cost in Base Case &lt;= USD 19.5M and Stress Case differs from Base by &lt; 8%.</t>
  </si>
  <si>
    <t xml:space="preserve">Risk mitigation</t>
  </si>
  <si>
    <t xml:space="preserve">Tie 25% of base salary to retention bonus; index 50% of compensation review to CPI+3pp.</t>
  </si>
  <si>
    <t xml:space="preserve">Attrition focus</t>
  </si>
  <si>
    <t xml:space="preserve">Concentrate retention spend on R&amp;D (largest headcount) and Sales (highest baseline attrition).</t>
  </si>
  <si>
    <t xml:space="preserve">Re-eval trigger</t>
  </si>
  <si>
    <t xml:space="preserve">If quarterly CPI exceeds 6.5% sustained, re-run model with Stress Case as the base.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</si>
</sst>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0.00%"/>
    <numFmt numFmtId="168" formatCode="0"/>
    <numFmt numFmtId="169" formatCode="0.00"/>
    <numFmt numFmtId="170" formatCode="0.0000"/>
    <numFmt numFmtId="171" formatCode="#,##0;\(#,##0\);\-"/>
    <numFmt numFmtId="172" formatCode="0.0"/>
    <numFmt numFmtId="173" formatCode="#,##0,;\(#,##0,\);\-"/>
    <numFmt numFmtId="174" formatCode="0.0%;\(0.0%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2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2E7D7D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E07A1F"/>
        <bgColor rgb="FFFF99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A1F"/>
      <rgbColor rgb="FF595959"/>
      <rgbColor rgb="FF969696"/>
      <rgbColor rgb="FF1F3864"/>
      <rgbColor rgb="FF2E7D7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80"/>
  </cols>
  <sheetData>
    <row r="2" customFormat="false" ht="21.7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1"/>
      <c r="C3" s="1"/>
    </row>
    <row r="4" customFormat="false" ht="21.75" hidden="false" customHeight="true" outlineLevel="0" collapsed="false">
      <c r="B4" s="1"/>
      <c r="C4" s="1"/>
    </row>
    <row r="5" customFormat="false" ht="15" hidden="false" customHeight="false" outlineLevel="0" collapsed="false">
      <c r="B5" s="2" t="s">
        <v>1</v>
      </c>
      <c r="C5" s="2"/>
    </row>
    <row r="7" customFormat="false" ht="17.35" hidden="false" customHeight="false" outlineLevel="0" collapsed="false">
      <c r="B7" s="3" t="s">
        <v>2</v>
      </c>
      <c r="C7" s="3"/>
    </row>
    <row r="8" customFormat="false" ht="75" hidden="false" customHeight="true" outlineLevel="0" collapsed="false">
      <c r="B8" s="4" t="s">
        <v>3</v>
      </c>
      <c r="C8" s="4"/>
    </row>
    <row r="10" customFormat="false" ht="17.35" hidden="false" customHeight="false" outlineLevel="0" collapsed="false">
      <c r="B10" s="3" t="s">
        <v>4</v>
      </c>
      <c r="C10" s="3"/>
    </row>
    <row r="11" customFormat="false" ht="15" hidden="false" customHeight="false" outlineLevel="0" collapsed="false">
      <c r="B11" s="5" t="s">
        <v>5</v>
      </c>
      <c r="C11" s="6" t="s">
        <v>6</v>
      </c>
    </row>
    <row r="12" customFormat="false" ht="15" hidden="false" customHeight="false" outlineLevel="0" collapsed="false">
      <c r="B12" s="5" t="s">
        <v>7</v>
      </c>
      <c r="C12" s="6" t="s">
        <v>8</v>
      </c>
    </row>
    <row r="13" customFormat="false" ht="15" hidden="false" customHeight="false" outlineLevel="0" collapsed="false">
      <c r="B13" s="5" t="s">
        <v>9</v>
      </c>
      <c r="C13" s="6" t="s">
        <v>10</v>
      </c>
    </row>
    <row r="14" customFormat="false" ht="15" hidden="false" customHeight="false" outlineLevel="0" collapsed="false">
      <c r="B14" s="5" t="s">
        <v>11</v>
      </c>
      <c r="C14" s="6" t="s">
        <v>12</v>
      </c>
    </row>
    <row r="16" customFormat="false" ht="17.35" hidden="false" customHeight="false" outlineLevel="0" collapsed="false">
      <c r="B16" s="3" t="s">
        <v>13</v>
      </c>
      <c r="C16" s="3"/>
    </row>
    <row r="17" customFormat="false" ht="15" hidden="false" customHeight="false" outlineLevel="0" collapsed="false">
      <c r="B17" s="5" t="s">
        <v>14</v>
      </c>
      <c r="C17" s="6" t="s">
        <v>15</v>
      </c>
    </row>
    <row r="18" customFormat="false" ht="15" hidden="false" customHeight="false" outlineLevel="0" collapsed="false">
      <c r="B18" s="5" t="s">
        <v>16</v>
      </c>
      <c r="C18" s="6" t="s">
        <v>17</v>
      </c>
    </row>
    <row r="19" customFormat="false" ht="15" hidden="false" customHeight="false" outlineLevel="0" collapsed="false">
      <c r="B19" s="5" t="s">
        <v>18</v>
      </c>
      <c r="C19" s="6" t="s">
        <v>19</v>
      </c>
    </row>
    <row r="20" customFormat="false" ht="15" hidden="false" customHeight="false" outlineLevel="0" collapsed="false">
      <c r="B20" s="5" t="s">
        <v>20</v>
      </c>
      <c r="C20" s="6" t="s">
        <v>21</v>
      </c>
    </row>
    <row r="21" customFormat="false" ht="15" hidden="false" customHeight="false" outlineLevel="0" collapsed="false">
      <c r="B21" s="5" t="s">
        <v>22</v>
      </c>
      <c r="C21" s="6" t="s">
        <v>23</v>
      </c>
    </row>
    <row r="23" customFormat="false" ht="17.35" hidden="false" customHeight="false" outlineLevel="0" collapsed="false">
      <c r="B23" s="3" t="s">
        <v>24</v>
      </c>
      <c r="C23" s="3"/>
    </row>
    <row r="24" customFormat="false" ht="15" hidden="false" customHeight="false" outlineLevel="0" collapsed="false">
      <c r="B24" s="7" t="s">
        <v>25</v>
      </c>
      <c r="C24" s="8" t="s">
        <v>26</v>
      </c>
    </row>
    <row r="25" customFormat="false" ht="15" hidden="false" customHeight="false" outlineLevel="0" collapsed="false">
      <c r="B25" s="9" t="s">
        <v>27</v>
      </c>
      <c r="C25" s="8" t="s">
        <v>28</v>
      </c>
    </row>
    <row r="26" customFormat="false" ht="15" hidden="false" customHeight="false" outlineLevel="0" collapsed="false">
      <c r="B26" s="10" t="s">
        <v>29</v>
      </c>
      <c r="C26" s="8" t="s">
        <v>30</v>
      </c>
    </row>
    <row r="27" customFormat="false" ht="15" hidden="false" customHeight="false" outlineLevel="0" collapsed="false">
      <c r="B27" s="11" t="s">
        <v>31</v>
      </c>
      <c r="C27" s="8" t="s">
        <v>32</v>
      </c>
    </row>
  </sheetData>
  <mergeCells count="7">
    <mergeCell ref="B2:C4"/>
    <mergeCell ref="B5:C5"/>
    <mergeCell ref="B7:C7"/>
    <mergeCell ref="B8:C8"/>
    <mergeCell ref="B10:C10"/>
    <mergeCell ref="B16:C16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0"/>
  </cols>
  <sheetData>
    <row r="2" customFormat="false" ht="31.5" hidden="false" customHeight="true" outlineLevel="0" collapsed="false">
      <c r="B2" s="12" t="s">
        <v>33</v>
      </c>
      <c r="C2" s="12"/>
      <c r="D2" s="12"/>
      <c r="E2" s="12"/>
    </row>
    <row r="4" customFormat="false" ht="15" hidden="false" customHeight="false" outlineLevel="0" collapsed="false">
      <c r="B4" s="13" t="s">
        <v>34</v>
      </c>
      <c r="C4" s="13"/>
      <c r="D4" s="13"/>
      <c r="E4" s="13"/>
    </row>
    <row r="5" customFormat="false" ht="15" hidden="false" customHeight="false" outlineLevel="0" collapsed="false">
      <c r="B5" s="14" t="s">
        <v>35</v>
      </c>
      <c r="C5" s="14" t="s">
        <v>36</v>
      </c>
      <c r="D5" s="14" t="s">
        <v>37</v>
      </c>
      <c r="E5" s="14" t="s">
        <v>38</v>
      </c>
    </row>
    <row r="6" customFormat="false" ht="15" hidden="false" customHeight="false" outlineLevel="0" collapsed="false">
      <c r="B6" s="8" t="s">
        <v>39</v>
      </c>
      <c r="C6" s="15" t="n">
        <v>200</v>
      </c>
      <c r="D6" s="16" t="s">
        <v>40</v>
      </c>
      <c r="E6" s="16" t="s">
        <v>41</v>
      </c>
    </row>
    <row r="7" customFormat="false" ht="15" hidden="false" customHeight="false" outlineLevel="0" collapsed="false">
      <c r="B7" s="8" t="s">
        <v>42</v>
      </c>
      <c r="C7" s="17" t="n">
        <v>0.65</v>
      </c>
      <c r="D7" s="16" t="s">
        <v>43</v>
      </c>
      <c r="E7" s="16" t="s">
        <v>44</v>
      </c>
    </row>
    <row r="8" customFormat="false" ht="15" hidden="false" customHeight="false" outlineLevel="0" collapsed="false">
      <c r="B8" s="8" t="s">
        <v>45</v>
      </c>
      <c r="C8" s="17" t="n">
        <v>0.25</v>
      </c>
      <c r="D8" s="16" t="s">
        <v>43</v>
      </c>
      <c r="E8" s="16" t="s">
        <v>46</v>
      </c>
    </row>
    <row r="9" customFormat="false" ht="15" hidden="false" customHeight="false" outlineLevel="0" collapsed="false">
      <c r="B9" s="8" t="s">
        <v>47</v>
      </c>
      <c r="C9" s="17" t="n">
        <v>0.1</v>
      </c>
      <c r="D9" s="16" t="s">
        <v>43</v>
      </c>
      <c r="E9" s="16" t="s">
        <v>48</v>
      </c>
    </row>
    <row r="10" customFormat="false" ht="15" hidden="false" customHeight="false" outlineLevel="0" collapsed="false">
      <c r="B10" s="9" t="s">
        <v>49</v>
      </c>
      <c r="C10" s="18" t="n">
        <f aca="false">C7+C8+C9</f>
        <v>1</v>
      </c>
      <c r="E10" s="16" t="s">
        <v>50</v>
      </c>
    </row>
    <row r="12" customFormat="false" ht="15" hidden="false" customHeight="false" outlineLevel="0" collapsed="false">
      <c r="B12" s="13" t="s">
        <v>51</v>
      </c>
      <c r="C12" s="13"/>
      <c r="D12" s="13"/>
      <c r="E12" s="13"/>
    </row>
    <row r="13" customFormat="false" ht="15" hidden="false" customHeight="false" outlineLevel="0" collapsed="false">
      <c r="B13" s="14" t="s">
        <v>35</v>
      </c>
      <c r="C13" s="14" t="s">
        <v>36</v>
      </c>
      <c r="D13" s="14" t="s">
        <v>37</v>
      </c>
      <c r="E13" s="14" t="s">
        <v>38</v>
      </c>
    </row>
    <row r="14" customFormat="false" ht="15" hidden="false" customHeight="false" outlineLevel="0" collapsed="false">
      <c r="B14" s="8" t="s">
        <v>52</v>
      </c>
      <c r="C14" s="19" t="n">
        <v>6281</v>
      </c>
      <c r="D14" s="16" t="s">
        <v>53</v>
      </c>
      <c r="E14" s="16" t="s">
        <v>54</v>
      </c>
    </row>
    <row r="15" customFormat="false" ht="15" hidden="false" customHeight="false" outlineLevel="0" collapsed="false">
      <c r="B15" s="8" t="s">
        <v>55</v>
      </c>
      <c r="C15" s="19" t="n">
        <v>6959</v>
      </c>
      <c r="D15" s="16" t="s">
        <v>53</v>
      </c>
      <c r="E15" s="16" t="s">
        <v>56</v>
      </c>
    </row>
    <row r="16" customFormat="false" ht="15" hidden="false" customHeight="false" outlineLevel="0" collapsed="false">
      <c r="B16" s="8" t="s">
        <v>57</v>
      </c>
      <c r="C16" s="19" t="n">
        <v>6655</v>
      </c>
      <c r="D16" s="16" t="s">
        <v>53</v>
      </c>
      <c r="E16" s="16" t="s">
        <v>58</v>
      </c>
    </row>
    <row r="17" customFormat="false" ht="15" hidden="false" customHeight="false" outlineLevel="0" collapsed="false">
      <c r="B17" s="8" t="s">
        <v>59</v>
      </c>
      <c r="C17" s="20" t="n">
        <v>0.1384</v>
      </c>
      <c r="D17" s="16" t="s">
        <v>43</v>
      </c>
      <c r="E17" s="16" t="s">
        <v>60</v>
      </c>
    </row>
    <row r="18" customFormat="false" ht="15" hidden="false" customHeight="false" outlineLevel="0" collapsed="false">
      <c r="B18" s="8" t="s">
        <v>61</v>
      </c>
      <c r="C18" s="20" t="n">
        <v>0.2063</v>
      </c>
      <c r="D18" s="16" t="s">
        <v>43</v>
      </c>
      <c r="E18" s="16" t="s">
        <v>62</v>
      </c>
    </row>
    <row r="19" customFormat="false" ht="15" hidden="false" customHeight="false" outlineLevel="0" collapsed="false">
      <c r="B19" s="8" t="s">
        <v>63</v>
      </c>
      <c r="C19" s="20" t="n">
        <v>0.1905</v>
      </c>
      <c r="D19" s="16" t="s">
        <v>43</v>
      </c>
      <c r="E19" s="16" t="s">
        <v>64</v>
      </c>
    </row>
    <row r="20" customFormat="false" ht="15" hidden="false" customHeight="false" outlineLevel="0" collapsed="false">
      <c r="B20" s="8" t="s">
        <v>65</v>
      </c>
      <c r="C20" s="20" t="n">
        <v>0.75</v>
      </c>
      <c r="D20" s="16" t="s">
        <v>66</v>
      </c>
      <c r="E20" s="16" t="s">
        <v>67</v>
      </c>
    </row>
  </sheetData>
  <mergeCells count="3">
    <mergeCell ref="B2:E2"/>
    <mergeCell ref="B4:E4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5" min="4" style="0" width="22"/>
    <col collapsed="false" customWidth="true" hidden="false" outlineLevel="0" max="6" min="6" style="0" width="50"/>
  </cols>
  <sheetData>
    <row r="2" customFormat="false" ht="31.5" hidden="false" customHeight="true" outlineLevel="0" collapsed="false">
      <c r="B2" s="12" t="s">
        <v>68</v>
      </c>
      <c r="C2" s="12"/>
      <c r="D2" s="12"/>
      <c r="E2" s="12"/>
      <c r="F2" s="12"/>
    </row>
    <row r="4" customFormat="false" ht="15" hidden="false" customHeight="false" outlineLevel="0" collapsed="false">
      <c r="B4" s="21" t="s">
        <v>69</v>
      </c>
      <c r="C4" s="21" t="s">
        <v>70</v>
      </c>
      <c r="D4" s="21" t="s">
        <v>71</v>
      </c>
      <c r="E4" s="21" t="s">
        <v>72</v>
      </c>
      <c r="F4" s="21" t="s">
        <v>73</v>
      </c>
    </row>
    <row r="5" customFormat="false" ht="15" hidden="false" customHeight="false" outlineLevel="0" collapsed="false">
      <c r="B5" s="22" t="n">
        <v>2015</v>
      </c>
      <c r="C5" s="23" t="n">
        <v>0.0491</v>
      </c>
      <c r="D5" s="23" t="n">
        <v>0.0675</v>
      </c>
      <c r="E5" s="23" t="n">
        <v>0.0184</v>
      </c>
      <c r="F5" s="16" t="s">
        <v>74</v>
      </c>
    </row>
    <row r="6" customFormat="false" ht="15" hidden="false" customHeight="false" outlineLevel="0" collapsed="false">
      <c r="B6" s="22" t="n">
        <v>2016</v>
      </c>
      <c r="C6" s="23" t="n">
        <v>0.0495</v>
      </c>
      <c r="D6" s="23" t="n">
        <v>0.0625</v>
      </c>
      <c r="E6" s="23" t="n">
        <v>0.013</v>
      </c>
      <c r="F6" s="16" t="s">
        <v>75</v>
      </c>
    </row>
    <row r="7" customFormat="false" ht="15" hidden="false" customHeight="false" outlineLevel="0" collapsed="false">
      <c r="B7" s="22" t="n">
        <v>2017</v>
      </c>
      <c r="C7" s="23" t="n">
        <v>0.0333</v>
      </c>
      <c r="D7" s="23" t="n">
        <v>0.06</v>
      </c>
      <c r="E7" s="23" t="n">
        <v>0.0267</v>
      </c>
      <c r="F7" s="16" t="s">
        <v>76</v>
      </c>
    </row>
    <row r="8" customFormat="false" ht="15" hidden="false" customHeight="false" outlineLevel="0" collapsed="false">
      <c r="B8" s="22" t="n">
        <v>2018</v>
      </c>
      <c r="C8" s="23" t="n">
        <v>0.0394</v>
      </c>
      <c r="D8" s="23" t="n">
        <v>0.065</v>
      </c>
      <c r="E8" s="23" t="n">
        <v>0.0256</v>
      </c>
      <c r="F8" s="16" t="s">
        <v>77</v>
      </c>
    </row>
    <row r="9" customFormat="false" ht="15" hidden="false" customHeight="false" outlineLevel="0" collapsed="false">
      <c r="B9" s="22" t="n">
        <v>2019</v>
      </c>
      <c r="C9" s="23" t="n">
        <v>0.0373</v>
      </c>
      <c r="D9" s="23" t="n">
        <v>0.0515</v>
      </c>
      <c r="E9" s="23" t="n">
        <v>0.0142</v>
      </c>
      <c r="F9" s="16" t="s">
        <v>78</v>
      </c>
    </row>
    <row r="10" customFormat="false" ht="15" hidden="false" customHeight="false" outlineLevel="0" collapsed="false">
      <c r="B10" s="22" t="n">
        <v>2020</v>
      </c>
      <c r="C10" s="23" t="n">
        <v>0.0662</v>
      </c>
      <c r="D10" s="23" t="n">
        <v>0.04</v>
      </c>
      <c r="E10" s="23" t="n">
        <v>-0.0262</v>
      </c>
      <c r="F10" s="16" t="s">
        <v>79</v>
      </c>
    </row>
    <row r="11" customFormat="false" ht="15" hidden="false" customHeight="false" outlineLevel="0" collapsed="false">
      <c r="B11" s="22" t="n">
        <v>2021</v>
      </c>
      <c r="C11" s="23" t="n">
        <v>0.0513</v>
      </c>
      <c r="D11" s="23" t="n">
        <v>0.04</v>
      </c>
      <c r="E11" s="23" t="n">
        <v>-0.0113</v>
      </c>
      <c r="F11" s="16" t="s">
        <v>80</v>
      </c>
    </row>
    <row r="12" customFormat="false" ht="15" hidden="false" customHeight="false" outlineLevel="0" collapsed="false">
      <c r="B12" s="22" t="n">
        <v>2022</v>
      </c>
      <c r="C12" s="23" t="n">
        <v>0.067</v>
      </c>
      <c r="D12" s="23" t="n">
        <v>0.0625</v>
      </c>
      <c r="E12" s="23" t="n">
        <v>-0.0045</v>
      </c>
      <c r="F12" s="16" t="s">
        <v>81</v>
      </c>
    </row>
    <row r="13" customFormat="false" ht="15" hidden="false" customHeight="false" outlineLevel="0" collapsed="false">
      <c r="B13" s="22" t="n">
        <v>2023</v>
      </c>
      <c r="C13" s="23" t="n">
        <v>0.0565</v>
      </c>
      <c r="D13" s="23" t="n">
        <v>0.065</v>
      </c>
      <c r="E13" s="23" t="n">
        <v>0.0085</v>
      </c>
      <c r="F13" s="16" t="s">
        <v>82</v>
      </c>
    </row>
    <row r="14" customFormat="false" ht="15" hidden="false" customHeight="false" outlineLevel="0" collapsed="false">
      <c r="B14" s="22" t="n">
        <v>2024</v>
      </c>
      <c r="C14" s="23" t="n">
        <v>0.0495</v>
      </c>
      <c r="D14" s="23" t="n">
        <v>0.065</v>
      </c>
      <c r="E14" s="23" t="n">
        <v>0.0155</v>
      </c>
      <c r="F14" s="16" t="s">
        <v>83</v>
      </c>
    </row>
    <row r="15" customFormat="false" ht="15" hidden="false" customHeight="false" outlineLevel="0" collapsed="false">
      <c r="B15" s="22" t="n">
        <v>2025</v>
      </c>
      <c r="C15" s="23" t="n">
        <v>0.033</v>
      </c>
      <c r="D15" s="23" t="n">
        <v>0.0525</v>
      </c>
      <c r="E15" s="23" t="n">
        <v>0.0195</v>
      </c>
      <c r="F15" s="16" t="s">
        <v>84</v>
      </c>
    </row>
    <row r="17" customFormat="false" ht="15" hidden="false" customHeight="false" outlineLevel="0" collapsed="false">
      <c r="B17" s="9" t="s">
        <v>85</v>
      </c>
      <c r="C17" s="24" t="n">
        <f aca="false">AVERAGE(C5:C15)</f>
        <v>0.0483727272727273</v>
      </c>
      <c r="D17" s="24" t="n">
        <f aca="false">AVERAGE(D5:D15)</f>
        <v>0.0574090909090909</v>
      </c>
      <c r="E17" s="24" t="n">
        <f aca="false">AVERAGE(E5:E15)</f>
        <v>0.00903636363636364</v>
      </c>
    </row>
    <row r="18" customFormat="false" ht="15" hidden="false" customHeight="false" outlineLevel="0" collapsed="false">
      <c r="B18" s="9" t="s">
        <v>86</v>
      </c>
      <c r="C18" s="24" t="n">
        <f aca="false">MEDIAN(C5:C15)</f>
        <v>0.0495</v>
      </c>
      <c r="D18" s="24" t="n">
        <f aca="false">MEDIAN(D5:D15)</f>
        <v>0.0625</v>
      </c>
      <c r="E18" s="24" t="n">
        <f aca="false">MEDIAN(E5:E15)</f>
        <v>0.0142</v>
      </c>
    </row>
    <row r="19" customFormat="false" ht="15" hidden="false" customHeight="false" outlineLevel="0" collapsed="false">
      <c r="B19" s="9" t="s">
        <v>87</v>
      </c>
      <c r="C19" s="24" t="n">
        <f aca="false">MIN(C5:C15)</f>
        <v>0.033</v>
      </c>
      <c r="D19" s="24" t="n">
        <f aca="false">MIN(D5:D15)</f>
        <v>0.04</v>
      </c>
      <c r="E19" s="24" t="n">
        <f aca="false">MIN(E5:E15)</f>
        <v>-0.0262</v>
      </c>
    </row>
    <row r="20" customFormat="false" ht="15" hidden="false" customHeight="false" outlineLevel="0" collapsed="false">
      <c r="B20" s="9" t="s">
        <v>88</v>
      </c>
      <c r="C20" s="24" t="n">
        <f aca="false">MAX(C5:C15)</f>
        <v>0.067</v>
      </c>
      <c r="D20" s="24" t="n">
        <f aca="false">MAX(D5:D15)</f>
        <v>0.0675</v>
      </c>
      <c r="E20" s="24" t="n">
        <f aca="false">MAX(E5:E15)</f>
        <v>0.0267</v>
      </c>
    </row>
    <row r="22" customFormat="false" ht="15" hidden="false" customHeight="false" outlineLevel="0" collapsed="false">
      <c r="B22" s="25" t="s">
        <v>89</v>
      </c>
      <c r="C22" s="25"/>
      <c r="D22" s="25"/>
      <c r="E22" s="25"/>
      <c r="F22" s="25"/>
    </row>
  </sheetData>
  <mergeCells count="2">
    <mergeCell ref="B2:F2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5" min="3" style="0" width="22"/>
  </cols>
  <sheetData>
    <row r="2" customFormat="false" ht="31.5" hidden="false" customHeight="true" outlineLevel="0" collapsed="false">
      <c r="B2" s="12" t="s">
        <v>90</v>
      </c>
      <c r="C2" s="12"/>
      <c r="D2" s="12"/>
      <c r="E2" s="12"/>
    </row>
    <row r="4" customFormat="false" ht="31.5" hidden="false" customHeight="true" outlineLevel="0" collapsed="false">
      <c r="B4" s="26" t="s">
        <v>91</v>
      </c>
      <c r="C4" s="26"/>
      <c r="D4" s="26"/>
      <c r="E4" s="26"/>
    </row>
    <row r="6" customFormat="false" ht="15" hidden="false" customHeight="false" outlineLevel="0" collapsed="false">
      <c r="B6" s="27" t="s">
        <v>35</v>
      </c>
      <c r="C6" s="27" t="s">
        <v>92</v>
      </c>
      <c r="D6" s="27" t="s">
        <v>93</v>
      </c>
      <c r="E6" s="27" t="s">
        <v>94</v>
      </c>
    </row>
    <row r="7" customFormat="false" ht="15" hidden="false" customHeight="false" outlineLevel="0" collapsed="false">
      <c r="C7" s="28" t="s">
        <v>95</v>
      </c>
      <c r="D7" s="28" t="s">
        <v>96</v>
      </c>
      <c r="E7" s="28" t="s">
        <v>97</v>
      </c>
    </row>
    <row r="8" customFormat="false" ht="15" hidden="false" customHeight="false" outlineLevel="0" collapsed="false">
      <c r="B8" s="8" t="s">
        <v>70</v>
      </c>
      <c r="C8" s="29" t="n">
        <v>0.033</v>
      </c>
      <c r="D8" s="29" t="n">
        <v>0.05</v>
      </c>
      <c r="E8" s="29" t="n">
        <v>0.067</v>
      </c>
    </row>
    <row r="9" customFormat="false" ht="15" hidden="false" customHeight="false" outlineLevel="0" collapsed="false">
      <c r="B9" s="8" t="s">
        <v>98</v>
      </c>
      <c r="C9" s="29" t="n">
        <v>0.0525</v>
      </c>
      <c r="D9" s="29" t="n">
        <v>0.0625</v>
      </c>
      <c r="E9" s="29" t="n">
        <v>0.065</v>
      </c>
    </row>
    <row r="10" customFormat="false" ht="15" hidden="false" customHeight="false" outlineLevel="0" collapsed="false">
      <c r="B10" s="8" t="s">
        <v>99</v>
      </c>
      <c r="C10" s="30" t="n">
        <v>0.065</v>
      </c>
      <c r="D10" s="30" t="n">
        <v>0.08</v>
      </c>
      <c r="E10" s="30" t="n">
        <v>0.11</v>
      </c>
    </row>
    <row r="11" customFormat="false" ht="15" hidden="false" customHeight="false" outlineLevel="0" collapsed="false">
      <c r="B11" s="8" t="s">
        <v>100</v>
      </c>
      <c r="C11" s="31" t="n">
        <v>0.85</v>
      </c>
      <c r="D11" s="31" t="n">
        <v>1</v>
      </c>
      <c r="E11" s="31" t="n">
        <v>1.25</v>
      </c>
    </row>
    <row r="14" customFormat="false" ht="15" hidden="false" customHeight="false" outlineLevel="0" collapsed="false">
      <c r="B14" s="9" t="s">
        <v>101</v>
      </c>
      <c r="C14" s="32" t="n">
        <v>2</v>
      </c>
      <c r="D14" s="16" t="s">
        <v>102</v>
      </c>
    </row>
    <row r="16" customFormat="false" ht="15" hidden="false" customHeight="false" outlineLevel="0" collapsed="false">
      <c r="B16" s="9" t="s">
        <v>103</v>
      </c>
      <c r="C16" s="24" t="n">
        <f aca="false">INDEX(C8:E8, $C$14)</f>
        <v>0.05</v>
      </c>
    </row>
    <row r="17" customFormat="false" ht="15" hidden="false" customHeight="false" outlineLevel="0" collapsed="false">
      <c r="B17" s="9" t="s">
        <v>104</v>
      </c>
      <c r="C17" s="24" t="n">
        <f aca="false">INDEX(C9:E9, $C$14)</f>
        <v>0.0625</v>
      </c>
    </row>
    <row r="18" customFormat="false" ht="15" hidden="false" customHeight="false" outlineLevel="0" collapsed="false">
      <c r="B18" s="9" t="s">
        <v>105</v>
      </c>
      <c r="C18" s="24" t="n">
        <f aca="false">INDEX(C10:E10, $C$14)</f>
        <v>0.08</v>
      </c>
    </row>
    <row r="19" customFormat="false" ht="15" hidden="false" customHeight="false" outlineLevel="0" collapsed="false">
      <c r="B19" s="9" t="s">
        <v>106</v>
      </c>
      <c r="C19" s="33" t="n">
        <f aca="false">INDEX(C11:E11, $C$14)</f>
        <v>1</v>
      </c>
    </row>
  </sheetData>
  <mergeCells count="2">
    <mergeCell ref="B2:E2"/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6" min="3" style="0" width="18"/>
  </cols>
  <sheetData>
    <row r="2" customFormat="false" ht="31.5" hidden="false" customHeight="true" outlineLevel="0" collapsed="false">
      <c r="B2" s="12" t="s">
        <v>107</v>
      </c>
      <c r="C2" s="12"/>
      <c r="D2" s="12"/>
      <c r="E2" s="12"/>
      <c r="F2" s="12"/>
    </row>
    <row r="4" customFormat="false" ht="30" hidden="false" customHeight="true" outlineLevel="0" collapsed="false">
      <c r="B4" s="26" t="s">
        <v>108</v>
      </c>
      <c r="C4" s="26"/>
      <c r="D4" s="26"/>
      <c r="E4" s="26"/>
      <c r="F4" s="26"/>
    </row>
    <row r="6" customFormat="false" ht="15" hidden="false" customHeight="false" outlineLevel="0" collapsed="false">
      <c r="B6" s="27" t="s">
        <v>109</v>
      </c>
      <c r="C6" s="27" t="s">
        <v>110</v>
      </c>
      <c r="D6" s="27" t="s">
        <v>111</v>
      </c>
      <c r="E6" s="27" t="s">
        <v>112</v>
      </c>
      <c r="F6" s="27" t="s">
        <v>113</v>
      </c>
    </row>
    <row r="7" customFormat="false" ht="15" hidden="false" customHeight="false" outlineLevel="0" collapsed="false">
      <c r="B7" s="9" t="s">
        <v>114</v>
      </c>
      <c r="C7" s="34" t="n">
        <f aca="false">ROUND(Hc_Total*Hc_RD_Share,0)</f>
        <v>130</v>
      </c>
      <c r="D7" s="34" t="n">
        <f aca="false">ROUND(Hc_Total*Hc_Sales_Share,0)</f>
        <v>50</v>
      </c>
      <c r="E7" s="34" t="n">
        <f aca="false">Hc_Total - C7 - D7</f>
        <v>20</v>
      </c>
      <c r="F7" s="34" t="n">
        <f aca="false">SUM(C7:E7)</f>
        <v>200</v>
      </c>
    </row>
    <row r="8" customFormat="false" ht="15" hidden="false" customHeight="false" outlineLevel="0" collapsed="false">
      <c r="B8" s="8" t="s">
        <v>115</v>
      </c>
      <c r="C8" s="35" t="n">
        <f aca="false">Inc_RD*12</f>
        <v>75372</v>
      </c>
      <c r="D8" s="35" t="n">
        <f aca="false">Inc_Sales*12</f>
        <v>83508</v>
      </c>
      <c r="E8" s="35" t="n">
        <f aca="false">Inc_GA*12</f>
        <v>79860</v>
      </c>
    </row>
    <row r="9" customFormat="false" ht="15" hidden="false" customHeight="false" outlineLevel="0" collapsed="false">
      <c r="B9" s="8" t="s">
        <v>116</v>
      </c>
      <c r="C9" s="36" t="n">
        <f aca="false">1+Active_SalInfl</f>
        <v>1.08</v>
      </c>
    </row>
    <row r="10" customFormat="false" ht="15" hidden="false" customHeight="false" outlineLevel="0" collapsed="false">
      <c r="B10" s="9" t="s">
        <v>117</v>
      </c>
      <c r="C10" s="37" t="n">
        <f aca="false">C7*C8*$C$9</f>
        <v>10582228.8</v>
      </c>
      <c r="D10" s="37" t="n">
        <f aca="false">D7*D8*$C$9</f>
        <v>4509432</v>
      </c>
      <c r="E10" s="37" t="n">
        <f aca="false">E7*E8*$C$9</f>
        <v>1724976</v>
      </c>
      <c r="F10" s="37" t="n">
        <f aca="false">SUM(C10:E10)</f>
        <v>16816636.8</v>
      </c>
    </row>
    <row r="12" customFormat="false" ht="15" hidden="false" customHeight="false" outlineLevel="0" collapsed="false">
      <c r="B12" s="8" t="s">
        <v>118</v>
      </c>
      <c r="C12" s="38" t="n">
        <f aca="false">Attr_RD</f>
        <v>0.1384</v>
      </c>
      <c r="D12" s="38" t="n">
        <f aca="false">Attr_Sales</f>
        <v>0.2063</v>
      </c>
      <c r="E12" s="38" t="n">
        <f aca="false">Attr_GA</f>
        <v>0.1905</v>
      </c>
    </row>
    <row r="13" customFormat="false" ht="15" hidden="false" customHeight="false" outlineLevel="0" collapsed="false">
      <c r="B13" s="8" t="s">
        <v>119</v>
      </c>
      <c r="C13" s="39" t="n">
        <f aca="false">Active_AttrMult</f>
        <v>1</v>
      </c>
    </row>
    <row r="14" customFormat="false" ht="15" hidden="false" customHeight="false" outlineLevel="0" collapsed="false">
      <c r="B14" s="9" t="s">
        <v>120</v>
      </c>
      <c r="C14" s="24" t="n">
        <f aca="false">C12*$C$13</f>
        <v>0.1384</v>
      </c>
      <c r="D14" s="24" t="n">
        <f aca="false">D12*$C$13</f>
        <v>0.2063</v>
      </c>
      <c r="E14" s="24" t="n">
        <f aca="false">E12*$C$13</f>
        <v>0.1905</v>
      </c>
    </row>
    <row r="15" customFormat="false" ht="15" hidden="false" customHeight="false" outlineLevel="0" collapsed="false">
      <c r="B15" s="8" t="s">
        <v>121</v>
      </c>
      <c r="C15" s="40" t="n">
        <f aca="false">C7*C14</f>
        <v>17.992</v>
      </c>
      <c r="D15" s="40" t="n">
        <f aca="false">D7*D14</f>
        <v>10.315</v>
      </c>
      <c r="E15" s="40" t="n">
        <f aca="false">E7*E14</f>
        <v>3.81</v>
      </c>
      <c r="F15" s="40" t="n">
        <f aca="false">SUM(C15:E15)</f>
        <v>32.117</v>
      </c>
    </row>
    <row r="16" customFormat="false" ht="15" hidden="false" customHeight="false" outlineLevel="0" collapsed="false">
      <c r="B16" s="8" t="s">
        <v>65</v>
      </c>
      <c r="C16" s="38" t="n">
        <f aca="false">Replace_Cost</f>
        <v>0.75</v>
      </c>
    </row>
    <row r="17" customFormat="false" ht="15" hidden="false" customHeight="false" outlineLevel="0" collapsed="false">
      <c r="B17" s="9" t="s">
        <v>122</v>
      </c>
      <c r="C17" s="37" t="n">
        <f aca="false">C15*C8*$C$9*$C$16</f>
        <v>1098435.34944</v>
      </c>
      <c r="D17" s="37" t="n">
        <f aca="false">D15*D8*$C$9*$C$16</f>
        <v>697721.8662</v>
      </c>
      <c r="E17" s="37" t="n">
        <f aca="false">E15*E8*$C$9*$C$16</f>
        <v>246455.946</v>
      </c>
      <c r="F17" s="37" t="n">
        <f aca="false">SUM(C17:E17)</f>
        <v>2042613.16164</v>
      </c>
    </row>
    <row r="19" customFormat="false" ht="15" hidden="false" customHeight="false" outlineLevel="0" collapsed="false">
      <c r="B19" s="41" t="s">
        <v>123</v>
      </c>
      <c r="C19" s="42" t="n">
        <f aca="false">C10+C17</f>
        <v>11680664.14944</v>
      </c>
      <c r="D19" s="42" t="n">
        <f aca="false">D10+D17</f>
        <v>5207153.8662</v>
      </c>
      <c r="E19" s="42" t="n">
        <f aca="false">E10+E17</f>
        <v>1971431.946</v>
      </c>
      <c r="F19" s="43" t="n">
        <f aca="false">SUM(C19:E19)</f>
        <v>18859249.96164</v>
      </c>
    </row>
    <row r="20" customFormat="false" ht="15" hidden="false" customHeight="false" outlineLevel="0" collapsed="false">
      <c r="B20" s="9" t="s">
        <v>124</v>
      </c>
      <c r="F20" s="37" t="n">
        <f aca="false">F19/(1+Active_Repo)</f>
        <v>17749882.3168376</v>
      </c>
    </row>
    <row r="21" customFormat="false" ht="15" hidden="false" customHeight="false" outlineLevel="0" collapsed="false">
      <c r="B21" s="9" t="s">
        <v>125</v>
      </c>
      <c r="F21" s="37" t="n">
        <f aca="false">F19/F7</f>
        <v>94296.2498082</v>
      </c>
    </row>
    <row r="23" customFormat="false" ht="15" hidden="false" customHeight="false" outlineLevel="0" collapsed="false">
      <c r="B23" s="16" t="s">
        <v>126</v>
      </c>
    </row>
    <row r="24" customFormat="false" ht="15" hidden="false" customHeight="false" outlineLevel="0" collapsed="false">
      <c r="B24" s="16" t="s">
        <v>127</v>
      </c>
    </row>
    <row r="25" customFormat="false" ht="15" hidden="false" customHeight="false" outlineLevel="0" collapsed="false">
      <c r="B25" s="16" t="s">
        <v>128</v>
      </c>
    </row>
    <row r="26" customFormat="false" ht="15" hidden="false" customHeight="false" outlineLevel="0" collapsed="false">
      <c r="B26" s="16" t="s">
        <v>129</v>
      </c>
    </row>
  </sheetData>
  <mergeCells count="2">
    <mergeCell ref="B2:F2"/>
    <mergeCell ref="B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10" min="3" style="0" width="13"/>
  </cols>
  <sheetData>
    <row r="2" customFormat="false" ht="31.5" hidden="false" customHeight="true" outlineLevel="0" collapsed="false">
      <c r="B2" s="12" t="s">
        <v>130</v>
      </c>
      <c r="C2" s="12"/>
      <c r="D2" s="12"/>
      <c r="E2" s="12"/>
      <c r="F2" s="12"/>
      <c r="G2" s="12"/>
      <c r="H2" s="12"/>
      <c r="I2" s="12"/>
    </row>
    <row r="4" customFormat="false" ht="30" hidden="false" customHeight="true" outlineLevel="0" collapsed="false">
      <c r="B4" s="26" t="s">
        <v>131</v>
      </c>
      <c r="C4" s="26"/>
      <c r="D4" s="26"/>
      <c r="E4" s="26"/>
      <c r="F4" s="26"/>
      <c r="G4" s="26"/>
      <c r="H4" s="26"/>
      <c r="I4" s="26"/>
    </row>
    <row r="6" customFormat="false" ht="15" hidden="false" customHeight="false" outlineLevel="0" collapsed="false">
      <c r="B6" s="44" t="s">
        <v>132</v>
      </c>
      <c r="C6" s="45" t="n">
        <v>0.03</v>
      </c>
      <c r="D6" s="45" t="n">
        <v>0.04</v>
      </c>
      <c r="E6" s="45" t="n">
        <v>0.05</v>
      </c>
      <c r="F6" s="45" t="n">
        <v>0.06</v>
      </c>
      <c r="G6" s="45" t="n">
        <v>0.07</v>
      </c>
      <c r="H6" s="45" t="n">
        <v>0.08</v>
      </c>
    </row>
    <row r="7" customFormat="false" ht="15" hidden="false" customHeight="false" outlineLevel="0" collapsed="false">
      <c r="B7" s="46" t="n">
        <v>0.7</v>
      </c>
      <c r="C7" s="47" t="n">
        <f aca="false">((ROUND(Hc_Total*Hc_RD_Share,0)*Inc_RD*12) + (ROUND(Hc_Total*Hc_Sales_Share,0)*Inc_Sales*12) + ((Hc_Total - ROUND(Hc_Total*Hc_RD_Share,0) - ROUND(Hc_Total*Hc_Sales_Share,0))*Inc_GA*12))*(1+C$6+0.03)+((ROUND(Hc_Total*Hc_RD_Share,0)*Attr_RD*$B7*Inc_RD*12) + (ROUND(Hc_Total*Hc_Sales_Share,0)*Attr_Sales*$B7*Inc_Sales*12) + ((Hc_Total - ROUND(Hc_Total*Hc_RD_Share,0) - ROUND(Hc_Total*Hc_Sales_Share,0))*Attr_GA*$B7*Inc_GA*12))*(1+C$6+0.03)*Replace_Cost</f>
        <v>17908568.494386</v>
      </c>
      <c r="D7" s="47" t="n">
        <f aca="false">((ROUND(Hc_Total*Hc_RD_Share,0)*Inc_RD*12) + (ROUND(Hc_Total*Hc_Sales_Share,0)*Inc_Sales*12) + ((Hc_Total - ROUND(Hc_Total*Hc_RD_Share,0) - ROUND(Hc_Total*Hc_Sales_Share,0))*Inc_GA*12))*(1+D$6+0.03)+((ROUND(Hc_Total*Hc_RD_Share,0)*Attr_RD*$B7*Inc_RD*12) + (ROUND(Hc_Total*Hc_Sales_Share,0)*Attr_Sales*$B7*Inc_Sales*12) + ((Hc_Total - ROUND(Hc_Total*Hc_RD_Share,0) - ROUND(Hc_Total*Hc_Sales_Share,0))*Attr_GA*$B7*Inc_GA*12))*(1+D$6+0.03)*Replace_Cost</f>
        <v>18077517.253767</v>
      </c>
      <c r="E7" s="47" t="n">
        <f aca="false">((ROUND(Hc_Total*Hc_RD_Share,0)*Inc_RD*12) + (ROUND(Hc_Total*Hc_Sales_Share,0)*Inc_Sales*12) + ((Hc_Total - ROUND(Hc_Total*Hc_RD_Share,0) - ROUND(Hc_Total*Hc_Sales_Share,0))*Inc_GA*12))*(1+E$6+0.03)+((ROUND(Hc_Total*Hc_RD_Share,0)*Attr_RD*$B7*Inc_RD*12) + (ROUND(Hc_Total*Hc_Sales_Share,0)*Attr_Sales*$B7*Inc_Sales*12) + ((Hc_Total - ROUND(Hc_Total*Hc_RD_Share,0) - ROUND(Hc_Total*Hc_Sales_Share,0))*Attr_GA*$B7*Inc_GA*12))*(1+E$6+0.03)*Replace_Cost</f>
        <v>18246466.013148</v>
      </c>
      <c r="F7" s="47" t="n">
        <f aca="false">((ROUND(Hc_Total*Hc_RD_Share,0)*Inc_RD*12) + (ROUND(Hc_Total*Hc_Sales_Share,0)*Inc_Sales*12) + ((Hc_Total - ROUND(Hc_Total*Hc_RD_Share,0) - ROUND(Hc_Total*Hc_Sales_Share,0))*Inc_GA*12))*(1+F$6+0.03)+((ROUND(Hc_Total*Hc_RD_Share,0)*Attr_RD*$B7*Inc_RD*12) + (ROUND(Hc_Total*Hc_Sales_Share,0)*Attr_Sales*$B7*Inc_Sales*12) + ((Hc_Total - ROUND(Hc_Total*Hc_RD_Share,0) - ROUND(Hc_Total*Hc_Sales_Share,0))*Attr_GA*$B7*Inc_GA*12))*(1+F$6+0.03)*Replace_Cost</f>
        <v>18415414.772529</v>
      </c>
      <c r="G7" s="47" t="n">
        <f aca="false">((ROUND(Hc_Total*Hc_RD_Share,0)*Inc_RD*12) + (ROUND(Hc_Total*Hc_Sales_Share,0)*Inc_Sales*12) + ((Hc_Total - ROUND(Hc_Total*Hc_RD_Share,0) - ROUND(Hc_Total*Hc_Sales_Share,0))*Inc_GA*12))*(1+G$6+0.03)+((ROUND(Hc_Total*Hc_RD_Share,0)*Attr_RD*$B7*Inc_RD*12) + (ROUND(Hc_Total*Hc_Sales_Share,0)*Attr_Sales*$B7*Inc_Sales*12) + ((Hc_Total - ROUND(Hc_Total*Hc_RD_Share,0) - ROUND(Hc_Total*Hc_Sales_Share,0))*Attr_GA*$B7*Inc_GA*12))*(1+G$6+0.03)*Replace_Cost</f>
        <v>18584363.53191</v>
      </c>
      <c r="H7" s="47" t="n">
        <f aca="false">((ROUND(Hc_Total*Hc_RD_Share,0)*Inc_RD*12) + (ROUND(Hc_Total*Hc_Sales_Share,0)*Inc_Sales*12) + ((Hc_Total - ROUND(Hc_Total*Hc_RD_Share,0) - ROUND(Hc_Total*Hc_Sales_Share,0))*Inc_GA*12))*(1+H$6+0.03)+((ROUND(Hc_Total*Hc_RD_Share,0)*Attr_RD*$B7*Inc_RD*12) + (ROUND(Hc_Total*Hc_Sales_Share,0)*Attr_Sales*$B7*Inc_Sales*12) + ((Hc_Total - ROUND(Hc_Total*Hc_RD_Share,0) - ROUND(Hc_Total*Hc_Sales_Share,0))*Attr_GA*$B7*Inc_GA*12))*(1+H$6+0.03)*Replace_Cost</f>
        <v>18753312.291291</v>
      </c>
    </row>
    <row r="8" customFormat="false" ht="15" hidden="false" customHeight="false" outlineLevel="0" collapsed="false">
      <c r="B8" s="46" t="n">
        <v>0.85</v>
      </c>
      <c r="C8" s="47" t="n">
        <f aca="false">((ROUND(Hc_Total*Hc_RD_Share,0)*Inc_RD*12) + (ROUND(Hc_Total*Hc_Sales_Share,0)*Inc_Sales*12) + ((Hc_Total - ROUND(Hc_Total*Hc_RD_Share,0) - ROUND(Hc_Total*Hc_Sales_Share,0))*Inc_GA*12))*(1+C$6+0.03)+((ROUND(Hc_Total*Hc_RD_Share,0)*Attr_RD*$B8*Inc_RD*12) + (ROUND(Hc_Total*Hc_Sales_Share,0)*Attr_Sales*$B8*Inc_Sales*12) + ((Hc_Total - ROUND(Hc_Total*Hc_RD_Share,0) - ROUND(Hc_Total*Hc_Sales_Share,0))*Attr_GA*$B8*Inc_GA*12))*(1+C$6+0.03)*Replace_Cost</f>
        <v>18209286.543183</v>
      </c>
      <c r="D8" s="47" t="n">
        <f aca="false">((ROUND(Hc_Total*Hc_RD_Share,0)*Inc_RD*12) + (ROUND(Hc_Total*Hc_Sales_Share,0)*Inc_Sales*12) + ((Hc_Total - ROUND(Hc_Total*Hc_RD_Share,0) - ROUND(Hc_Total*Hc_Sales_Share,0))*Inc_GA*12))*(1+D$6+0.03)+((ROUND(Hc_Total*Hc_RD_Share,0)*Attr_RD*$B8*Inc_RD*12) + (ROUND(Hc_Total*Hc_Sales_Share,0)*Attr_Sales*$B8*Inc_Sales*12) + ((Hc_Total - ROUND(Hc_Total*Hc_RD_Share,0) - ROUND(Hc_Total*Hc_Sales_Share,0))*Attr_GA*$B8*Inc_GA*12))*(1+D$6+0.03)*Replace_Cost</f>
        <v>18381072.2652885</v>
      </c>
      <c r="E8" s="47" t="n">
        <f aca="false">((ROUND(Hc_Total*Hc_RD_Share,0)*Inc_RD*12) + (ROUND(Hc_Total*Hc_Sales_Share,0)*Inc_Sales*12) + ((Hc_Total - ROUND(Hc_Total*Hc_RD_Share,0) - ROUND(Hc_Total*Hc_Sales_Share,0))*Inc_GA*12))*(1+E$6+0.03)+((ROUND(Hc_Total*Hc_RD_Share,0)*Attr_RD*$B8*Inc_RD*12) + (ROUND(Hc_Total*Hc_Sales_Share,0)*Attr_Sales*$B8*Inc_Sales*12) + ((Hc_Total - ROUND(Hc_Total*Hc_RD_Share,0) - ROUND(Hc_Total*Hc_Sales_Share,0))*Attr_GA*$B8*Inc_GA*12))*(1+E$6+0.03)*Replace_Cost</f>
        <v>18552857.987394</v>
      </c>
      <c r="F8" s="47" t="n">
        <f aca="false">((ROUND(Hc_Total*Hc_RD_Share,0)*Inc_RD*12) + (ROUND(Hc_Total*Hc_Sales_Share,0)*Inc_Sales*12) + ((Hc_Total - ROUND(Hc_Total*Hc_RD_Share,0) - ROUND(Hc_Total*Hc_Sales_Share,0))*Inc_GA*12))*(1+F$6+0.03)+((ROUND(Hc_Total*Hc_RD_Share,0)*Attr_RD*$B8*Inc_RD*12) + (ROUND(Hc_Total*Hc_Sales_Share,0)*Attr_Sales*$B8*Inc_Sales*12) + ((Hc_Total - ROUND(Hc_Total*Hc_RD_Share,0) - ROUND(Hc_Total*Hc_Sales_Share,0))*Attr_GA*$B8*Inc_GA*12))*(1+F$6+0.03)*Replace_Cost</f>
        <v>18724643.7094995</v>
      </c>
      <c r="G8" s="47" t="n">
        <f aca="false">((ROUND(Hc_Total*Hc_RD_Share,0)*Inc_RD*12) + (ROUND(Hc_Total*Hc_Sales_Share,0)*Inc_Sales*12) + ((Hc_Total - ROUND(Hc_Total*Hc_RD_Share,0) - ROUND(Hc_Total*Hc_Sales_Share,0))*Inc_GA*12))*(1+G$6+0.03)+((ROUND(Hc_Total*Hc_RD_Share,0)*Attr_RD*$B8*Inc_RD*12) + (ROUND(Hc_Total*Hc_Sales_Share,0)*Attr_Sales*$B8*Inc_Sales*12) + ((Hc_Total - ROUND(Hc_Total*Hc_RD_Share,0) - ROUND(Hc_Total*Hc_Sales_Share,0))*Attr_GA*$B8*Inc_GA*12))*(1+G$6+0.03)*Replace_Cost</f>
        <v>18896429.431605</v>
      </c>
      <c r="H8" s="47" t="n">
        <f aca="false">((ROUND(Hc_Total*Hc_RD_Share,0)*Inc_RD*12) + (ROUND(Hc_Total*Hc_Sales_Share,0)*Inc_Sales*12) + ((Hc_Total - ROUND(Hc_Total*Hc_RD_Share,0) - ROUND(Hc_Total*Hc_Sales_Share,0))*Inc_GA*12))*(1+H$6+0.03)+((ROUND(Hc_Total*Hc_RD_Share,0)*Attr_RD*$B8*Inc_RD*12) + (ROUND(Hc_Total*Hc_Sales_Share,0)*Attr_Sales*$B8*Inc_Sales*12) + ((Hc_Total - ROUND(Hc_Total*Hc_RD_Share,0) - ROUND(Hc_Total*Hc_Sales_Share,0))*Attr_GA*$B8*Inc_GA*12))*(1+H$6+0.03)*Replace_Cost</f>
        <v>19068215.1537105</v>
      </c>
    </row>
    <row r="9" customFormat="false" ht="15" hidden="false" customHeight="false" outlineLevel="0" collapsed="false">
      <c r="B9" s="46" t="n">
        <v>1</v>
      </c>
      <c r="C9" s="47" t="n">
        <f aca="false">((ROUND(Hc_Total*Hc_RD_Share,0)*Inc_RD*12) + (ROUND(Hc_Total*Hc_Sales_Share,0)*Inc_Sales*12) + ((Hc_Total - ROUND(Hc_Total*Hc_RD_Share,0) - ROUND(Hc_Total*Hc_Sales_Share,0))*Inc_GA*12))*(1+C$6+0.03)+((ROUND(Hc_Total*Hc_RD_Share,0)*Attr_RD*$B9*Inc_RD*12) + (ROUND(Hc_Total*Hc_Sales_Share,0)*Attr_Sales*$B9*Inc_Sales*12) + ((Hc_Total - ROUND(Hc_Total*Hc_RD_Share,0) - ROUND(Hc_Total*Hc_Sales_Share,0))*Attr_GA*$B9*Inc_GA*12))*(1+C$6+0.03)*Replace_Cost</f>
        <v>18510004.59198</v>
      </c>
      <c r="D9" s="47" t="n">
        <f aca="false">((ROUND(Hc_Total*Hc_RD_Share,0)*Inc_RD*12) + (ROUND(Hc_Total*Hc_Sales_Share,0)*Inc_Sales*12) + ((Hc_Total - ROUND(Hc_Total*Hc_RD_Share,0) - ROUND(Hc_Total*Hc_Sales_Share,0))*Inc_GA*12))*(1+D$6+0.03)+((ROUND(Hc_Total*Hc_RD_Share,0)*Attr_RD*$B9*Inc_RD*12) + (ROUND(Hc_Total*Hc_Sales_Share,0)*Attr_Sales*$B9*Inc_Sales*12) + ((Hc_Total - ROUND(Hc_Total*Hc_RD_Share,0) - ROUND(Hc_Total*Hc_Sales_Share,0))*Attr_GA*$B9*Inc_GA*12))*(1+D$6+0.03)*Replace_Cost</f>
        <v>18684627.27681</v>
      </c>
      <c r="E9" s="47" t="n">
        <f aca="false">((ROUND(Hc_Total*Hc_RD_Share,0)*Inc_RD*12) + (ROUND(Hc_Total*Hc_Sales_Share,0)*Inc_Sales*12) + ((Hc_Total - ROUND(Hc_Total*Hc_RD_Share,0) - ROUND(Hc_Total*Hc_Sales_Share,0))*Inc_GA*12))*(1+E$6+0.03)+((ROUND(Hc_Total*Hc_RD_Share,0)*Attr_RD*$B9*Inc_RD*12) + (ROUND(Hc_Total*Hc_Sales_Share,0)*Attr_Sales*$B9*Inc_Sales*12) + ((Hc_Total - ROUND(Hc_Total*Hc_RD_Share,0) - ROUND(Hc_Total*Hc_Sales_Share,0))*Attr_GA*$B9*Inc_GA*12))*(1+E$6+0.03)*Replace_Cost</f>
        <v>18859249.96164</v>
      </c>
      <c r="F9" s="47" t="n">
        <f aca="false">((ROUND(Hc_Total*Hc_RD_Share,0)*Inc_RD*12) + (ROUND(Hc_Total*Hc_Sales_Share,0)*Inc_Sales*12) + ((Hc_Total - ROUND(Hc_Total*Hc_RD_Share,0) - ROUND(Hc_Total*Hc_Sales_Share,0))*Inc_GA*12))*(1+F$6+0.03)+((ROUND(Hc_Total*Hc_RD_Share,0)*Attr_RD*$B9*Inc_RD*12) + (ROUND(Hc_Total*Hc_Sales_Share,0)*Attr_Sales*$B9*Inc_Sales*12) + ((Hc_Total - ROUND(Hc_Total*Hc_RD_Share,0) - ROUND(Hc_Total*Hc_Sales_Share,0))*Attr_GA*$B9*Inc_GA*12))*(1+F$6+0.03)*Replace_Cost</f>
        <v>19033872.64647</v>
      </c>
      <c r="G9" s="47" t="n">
        <f aca="false">((ROUND(Hc_Total*Hc_RD_Share,0)*Inc_RD*12) + (ROUND(Hc_Total*Hc_Sales_Share,0)*Inc_Sales*12) + ((Hc_Total - ROUND(Hc_Total*Hc_RD_Share,0) - ROUND(Hc_Total*Hc_Sales_Share,0))*Inc_GA*12))*(1+G$6+0.03)+((ROUND(Hc_Total*Hc_RD_Share,0)*Attr_RD*$B9*Inc_RD*12) + (ROUND(Hc_Total*Hc_Sales_Share,0)*Attr_Sales*$B9*Inc_Sales*12) + ((Hc_Total - ROUND(Hc_Total*Hc_RD_Share,0) - ROUND(Hc_Total*Hc_Sales_Share,0))*Attr_GA*$B9*Inc_GA*12))*(1+G$6+0.03)*Replace_Cost</f>
        <v>19208495.3313</v>
      </c>
      <c r="H9" s="47" t="n">
        <f aca="false">((ROUND(Hc_Total*Hc_RD_Share,0)*Inc_RD*12) + (ROUND(Hc_Total*Hc_Sales_Share,0)*Inc_Sales*12) + ((Hc_Total - ROUND(Hc_Total*Hc_RD_Share,0) - ROUND(Hc_Total*Hc_Sales_Share,0))*Inc_GA*12))*(1+H$6+0.03)+((ROUND(Hc_Total*Hc_RD_Share,0)*Attr_RD*$B9*Inc_RD*12) + (ROUND(Hc_Total*Hc_Sales_Share,0)*Attr_Sales*$B9*Inc_Sales*12) + ((Hc_Total - ROUND(Hc_Total*Hc_RD_Share,0) - ROUND(Hc_Total*Hc_Sales_Share,0))*Attr_GA*$B9*Inc_GA*12))*(1+H$6+0.03)*Replace_Cost</f>
        <v>19383118.01613</v>
      </c>
    </row>
    <row r="10" customFormat="false" ht="15" hidden="false" customHeight="false" outlineLevel="0" collapsed="false">
      <c r="B10" s="46" t="n">
        <v>1.15</v>
      </c>
      <c r="C10" s="47" t="n">
        <f aca="false">((ROUND(Hc_Total*Hc_RD_Share,0)*Inc_RD*12) + (ROUND(Hc_Total*Hc_Sales_Share,0)*Inc_Sales*12) + ((Hc_Total - ROUND(Hc_Total*Hc_RD_Share,0) - ROUND(Hc_Total*Hc_Sales_Share,0))*Inc_GA*12))*(1+C$6+0.03)+((ROUND(Hc_Total*Hc_RD_Share,0)*Attr_RD*$B10*Inc_RD*12) + (ROUND(Hc_Total*Hc_Sales_Share,0)*Attr_Sales*$B10*Inc_Sales*12) + ((Hc_Total - ROUND(Hc_Total*Hc_RD_Share,0) - ROUND(Hc_Total*Hc_Sales_Share,0))*Attr_GA*$B10*Inc_GA*12))*(1+C$6+0.03)*Replace_Cost</f>
        <v>18810722.640777</v>
      </c>
      <c r="D10" s="47" t="n">
        <f aca="false">((ROUND(Hc_Total*Hc_RD_Share,0)*Inc_RD*12) + (ROUND(Hc_Total*Hc_Sales_Share,0)*Inc_Sales*12) + ((Hc_Total - ROUND(Hc_Total*Hc_RD_Share,0) - ROUND(Hc_Total*Hc_Sales_Share,0))*Inc_GA*12))*(1+D$6+0.03)+((ROUND(Hc_Total*Hc_RD_Share,0)*Attr_RD*$B10*Inc_RD*12) + (ROUND(Hc_Total*Hc_Sales_Share,0)*Attr_Sales*$B10*Inc_Sales*12) + ((Hc_Total - ROUND(Hc_Total*Hc_RD_Share,0) - ROUND(Hc_Total*Hc_Sales_Share,0))*Attr_GA*$B10*Inc_GA*12))*(1+D$6+0.03)*Replace_Cost</f>
        <v>18988182.2883315</v>
      </c>
      <c r="E10" s="47" t="n">
        <f aca="false">((ROUND(Hc_Total*Hc_RD_Share,0)*Inc_RD*12) + (ROUND(Hc_Total*Hc_Sales_Share,0)*Inc_Sales*12) + ((Hc_Total - ROUND(Hc_Total*Hc_RD_Share,0) - ROUND(Hc_Total*Hc_Sales_Share,0))*Inc_GA*12))*(1+E$6+0.03)+((ROUND(Hc_Total*Hc_RD_Share,0)*Attr_RD*$B10*Inc_RD*12) + (ROUND(Hc_Total*Hc_Sales_Share,0)*Attr_Sales*$B10*Inc_Sales*12) + ((Hc_Total - ROUND(Hc_Total*Hc_RD_Share,0) - ROUND(Hc_Total*Hc_Sales_Share,0))*Attr_GA*$B10*Inc_GA*12))*(1+E$6+0.03)*Replace_Cost</f>
        <v>19165641.935886</v>
      </c>
      <c r="F10" s="47" t="n">
        <f aca="false">((ROUND(Hc_Total*Hc_RD_Share,0)*Inc_RD*12) + (ROUND(Hc_Total*Hc_Sales_Share,0)*Inc_Sales*12) + ((Hc_Total - ROUND(Hc_Total*Hc_RD_Share,0) - ROUND(Hc_Total*Hc_Sales_Share,0))*Inc_GA*12))*(1+F$6+0.03)+((ROUND(Hc_Total*Hc_RD_Share,0)*Attr_RD*$B10*Inc_RD*12) + (ROUND(Hc_Total*Hc_Sales_Share,0)*Attr_Sales*$B10*Inc_Sales*12) + ((Hc_Total - ROUND(Hc_Total*Hc_RD_Share,0) - ROUND(Hc_Total*Hc_Sales_Share,0))*Attr_GA*$B10*Inc_GA*12))*(1+F$6+0.03)*Replace_Cost</f>
        <v>19343101.5834405</v>
      </c>
      <c r="G10" s="47" t="n">
        <f aca="false">((ROUND(Hc_Total*Hc_RD_Share,0)*Inc_RD*12) + (ROUND(Hc_Total*Hc_Sales_Share,0)*Inc_Sales*12) + ((Hc_Total - ROUND(Hc_Total*Hc_RD_Share,0) - ROUND(Hc_Total*Hc_Sales_Share,0))*Inc_GA*12))*(1+G$6+0.03)+((ROUND(Hc_Total*Hc_RD_Share,0)*Attr_RD*$B10*Inc_RD*12) + (ROUND(Hc_Total*Hc_Sales_Share,0)*Attr_Sales*$B10*Inc_Sales*12) + ((Hc_Total - ROUND(Hc_Total*Hc_RD_Share,0) - ROUND(Hc_Total*Hc_Sales_Share,0))*Attr_GA*$B10*Inc_GA*12))*(1+G$6+0.03)*Replace_Cost</f>
        <v>19520561.230995</v>
      </c>
      <c r="H10" s="47" t="n">
        <f aca="false">((ROUND(Hc_Total*Hc_RD_Share,0)*Inc_RD*12) + (ROUND(Hc_Total*Hc_Sales_Share,0)*Inc_Sales*12) + ((Hc_Total - ROUND(Hc_Total*Hc_RD_Share,0) - ROUND(Hc_Total*Hc_Sales_Share,0))*Inc_GA*12))*(1+H$6+0.03)+((ROUND(Hc_Total*Hc_RD_Share,0)*Attr_RD*$B10*Inc_RD*12) + (ROUND(Hc_Total*Hc_Sales_Share,0)*Attr_Sales*$B10*Inc_Sales*12) + ((Hc_Total - ROUND(Hc_Total*Hc_RD_Share,0) - ROUND(Hc_Total*Hc_Sales_Share,0))*Attr_GA*$B10*Inc_GA*12))*(1+H$6+0.03)*Replace_Cost</f>
        <v>19698020.8785495</v>
      </c>
    </row>
    <row r="11" customFormat="false" ht="15" hidden="false" customHeight="false" outlineLevel="0" collapsed="false">
      <c r="B11" s="46" t="n">
        <v>1.25</v>
      </c>
      <c r="C11" s="47" t="n">
        <f aca="false">((ROUND(Hc_Total*Hc_RD_Share,0)*Inc_RD*12) + (ROUND(Hc_Total*Hc_Sales_Share,0)*Inc_Sales*12) + ((Hc_Total - ROUND(Hc_Total*Hc_RD_Share,0) - ROUND(Hc_Total*Hc_Sales_Share,0))*Inc_GA*12))*(1+C$6+0.03)+((ROUND(Hc_Total*Hc_RD_Share,0)*Attr_RD*$B11*Inc_RD*12) + (ROUND(Hc_Total*Hc_Sales_Share,0)*Attr_Sales*$B11*Inc_Sales*12) + ((Hc_Total - ROUND(Hc_Total*Hc_RD_Share,0) - ROUND(Hc_Total*Hc_Sales_Share,0))*Attr_GA*$B11*Inc_GA*12))*(1+C$6+0.03)*Replace_Cost</f>
        <v>19011201.339975</v>
      </c>
      <c r="D11" s="47" t="n">
        <f aca="false">((ROUND(Hc_Total*Hc_RD_Share,0)*Inc_RD*12) + (ROUND(Hc_Total*Hc_Sales_Share,0)*Inc_Sales*12) + ((Hc_Total - ROUND(Hc_Total*Hc_RD_Share,0) - ROUND(Hc_Total*Hc_Sales_Share,0))*Inc_GA*12))*(1+D$6+0.03)+((ROUND(Hc_Total*Hc_RD_Share,0)*Attr_RD*$B11*Inc_RD*12) + (ROUND(Hc_Total*Hc_Sales_Share,0)*Attr_Sales*$B11*Inc_Sales*12) + ((Hc_Total - ROUND(Hc_Total*Hc_RD_Share,0) - ROUND(Hc_Total*Hc_Sales_Share,0))*Attr_GA*$B11*Inc_GA*12))*(1+D$6+0.03)*Replace_Cost</f>
        <v>19190552.2960125</v>
      </c>
      <c r="E11" s="47" t="n">
        <f aca="false">((ROUND(Hc_Total*Hc_RD_Share,0)*Inc_RD*12) + (ROUND(Hc_Total*Hc_Sales_Share,0)*Inc_Sales*12) + ((Hc_Total - ROUND(Hc_Total*Hc_RD_Share,0) - ROUND(Hc_Total*Hc_Sales_Share,0))*Inc_GA*12))*(1+E$6+0.03)+((ROUND(Hc_Total*Hc_RD_Share,0)*Attr_RD*$B11*Inc_RD*12) + (ROUND(Hc_Total*Hc_Sales_Share,0)*Attr_Sales*$B11*Inc_Sales*12) + ((Hc_Total - ROUND(Hc_Total*Hc_RD_Share,0) - ROUND(Hc_Total*Hc_Sales_Share,0))*Attr_GA*$B11*Inc_GA*12))*(1+E$6+0.03)*Replace_Cost</f>
        <v>19369903.25205</v>
      </c>
      <c r="F11" s="47" t="n">
        <f aca="false">((ROUND(Hc_Total*Hc_RD_Share,0)*Inc_RD*12) + (ROUND(Hc_Total*Hc_Sales_Share,0)*Inc_Sales*12) + ((Hc_Total - ROUND(Hc_Total*Hc_RD_Share,0) - ROUND(Hc_Total*Hc_Sales_Share,0))*Inc_GA*12))*(1+F$6+0.03)+((ROUND(Hc_Total*Hc_RD_Share,0)*Attr_RD*$B11*Inc_RD*12) + (ROUND(Hc_Total*Hc_Sales_Share,0)*Attr_Sales*$B11*Inc_Sales*12) + ((Hc_Total - ROUND(Hc_Total*Hc_RD_Share,0) - ROUND(Hc_Total*Hc_Sales_Share,0))*Attr_GA*$B11*Inc_GA*12))*(1+F$6+0.03)*Replace_Cost</f>
        <v>19549254.2080875</v>
      </c>
      <c r="G11" s="47" t="n">
        <f aca="false">((ROUND(Hc_Total*Hc_RD_Share,0)*Inc_RD*12) + (ROUND(Hc_Total*Hc_Sales_Share,0)*Inc_Sales*12) + ((Hc_Total - ROUND(Hc_Total*Hc_RD_Share,0) - ROUND(Hc_Total*Hc_Sales_Share,0))*Inc_GA*12))*(1+G$6+0.03)+((ROUND(Hc_Total*Hc_RD_Share,0)*Attr_RD*$B11*Inc_RD*12) + (ROUND(Hc_Total*Hc_Sales_Share,0)*Attr_Sales*$B11*Inc_Sales*12) + ((Hc_Total - ROUND(Hc_Total*Hc_RD_Share,0) - ROUND(Hc_Total*Hc_Sales_Share,0))*Attr_GA*$B11*Inc_GA*12))*(1+G$6+0.03)*Replace_Cost</f>
        <v>19728605.164125</v>
      </c>
      <c r="H11" s="47" t="n">
        <f aca="false">((ROUND(Hc_Total*Hc_RD_Share,0)*Inc_RD*12) + (ROUND(Hc_Total*Hc_Sales_Share,0)*Inc_Sales*12) + ((Hc_Total - ROUND(Hc_Total*Hc_RD_Share,0) - ROUND(Hc_Total*Hc_Sales_Share,0))*Inc_GA*12))*(1+H$6+0.03)+((ROUND(Hc_Total*Hc_RD_Share,0)*Attr_RD*$B11*Inc_RD*12) + (ROUND(Hc_Total*Hc_Sales_Share,0)*Attr_Sales*$B11*Inc_Sales*12) + ((Hc_Total - ROUND(Hc_Total*Hc_RD_Share,0) - ROUND(Hc_Total*Hc_Sales_Share,0))*Attr_GA*$B11*Inc_GA*12))*(1+H$6+0.03)*Replace_Cost</f>
        <v>19907956.1201625</v>
      </c>
    </row>
    <row r="12" customFormat="false" ht="15" hidden="false" customHeight="false" outlineLevel="0" collapsed="false">
      <c r="B12" s="46" t="n">
        <v>1.4</v>
      </c>
      <c r="C12" s="47" t="n">
        <f aca="false">((ROUND(Hc_Total*Hc_RD_Share,0)*Inc_RD*12) + (ROUND(Hc_Total*Hc_Sales_Share,0)*Inc_Sales*12) + ((Hc_Total - ROUND(Hc_Total*Hc_RD_Share,0) - ROUND(Hc_Total*Hc_Sales_Share,0))*Inc_GA*12))*(1+C$6+0.03)+((ROUND(Hc_Total*Hc_RD_Share,0)*Attr_RD*$B12*Inc_RD*12) + (ROUND(Hc_Total*Hc_Sales_Share,0)*Attr_Sales*$B12*Inc_Sales*12) + ((Hc_Total - ROUND(Hc_Total*Hc_RD_Share,0) - ROUND(Hc_Total*Hc_Sales_Share,0))*Attr_GA*$B12*Inc_GA*12))*(1+C$6+0.03)*Replace_Cost</f>
        <v>19311919.388772</v>
      </c>
      <c r="D12" s="47" t="n">
        <f aca="false">((ROUND(Hc_Total*Hc_RD_Share,0)*Inc_RD*12) + (ROUND(Hc_Total*Hc_Sales_Share,0)*Inc_Sales*12) + ((Hc_Total - ROUND(Hc_Total*Hc_RD_Share,0) - ROUND(Hc_Total*Hc_Sales_Share,0))*Inc_GA*12))*(1+D$6+0.03)+((ROUND(Hc_Total*Hc_RD_Share,0)*Attr_RD*$B12*Inc_RD*12) + (ROUND(Hc_Total*Hc_Sales_Share,0)*Attr_Sales*$B12*Inc_Sales*12) + ((Hc_Total - ROUND(Hc_Total*Hc_RD_Share,0) - ROUND(Hc_Total*Hc_Sales_Share,0))*Attr_GA*$B12*Inc_GA*12))*(1+D$6+0.03)*Replace_Cost</f>
        <v>19494107.307534</v>
      </c>
      <c r="E12" s="47" t="n">
        <f aca="false">((ROUND(Hc_Total*Hc_RD_Share,0)*Inc_RD*12) + (ROUND(Hc_Total*Hc_Sales_Share,0)*Inc_Sales*12) + ((Hc_Total - ROUND(Hc_Total*Hc_RD_Share,0) - ROUND(Hc_Total*Hc_Sales_Share,0))*Inc_GA*12))*(1+E$6+0.03)+((ROUND(Hc_Total*Hc_RD_Share,0)*Attr_RD*$B12*Inc_RD*12) + (ROUND(Hc_Total*Hc_Sales_Share,0)*Attr_Sales*$B12*Inc_Sales*12) + ((Hc_Total - ROUND(Hc_Total*Hc_RD_Share,0) - ROUND(Hc_Total*Hc_Sales_Share,0))*Attr_GA*$B12*Inc_GA*12))*(1+E$6+0.03)*Replace_Cost</f>
        <v>19676295.226296</v>
      </c>
      <c r="F12" s="47" t="n">
        <f aca="false">((ROUND(Hc_Total*Hc_RD_Share,0)*Inc_RD*12) + (ROUND(Hc_Total*Hc_Sales_Share,0)*Inc_Sales*12) + ((Hc_Total - ROUND(Hc_Total*Hc_RD_Share,0) - ROUND(Hc_Total*Hc_Sales_Share,0))*Inc_GA*12))*(1+F$6+0.03)+((ROUND(Hc_Total*Hc_RD_Share,0)*Attr_RD*$B12*Inc_RD*12) + (ROUND(Hc_Total*Hc_Sales_Share,0)*Attr_Sales*$B12*Inc_Sales*12) + ((Hc_Total - ROUND(Hc_Total*Hc_RD_Share,0) - ROUND(Hc_Total*Hc_Sales_Share,0))*Attr_GA*$B12*Inc_GA*12))*(1+F$6+0.03)*Replace_Cost</f>
        <v>19858483.145058</v>
      </c>
      <c r="G12" s="47" t="n">
        <f aca="false">((ROUND(Hc_Total*Hc_RD_Share,0)*Inc_RD*12) + (ROUND(Hc_Total*Hc_Sales_Share,0)*Inc_Sales*12) + ((Hc_Total - ROUND(Hc_Total*Hc_RD_Share,0) - ROUND(Hc_Total*Hc_Sales_Share,0))*Inc_GA*12))*(1+G$6+0.03)+((ROUND(Hc_Total*Hc_RD_Share,0)*Attr_RD*$B12*Inc_RD*12) + (ROUND(Hc_Total*Hc_Sales_Share,0)*Attr_Sales*$B12*Inc_Sales*12) + ((Hc_Total - ROUND(Hc_Total*Hc_RD_Share,0) - ROUND(Hc_Total*Hc_Sales_Share,0))*Attr_GA*$B12*Inc_GA*12))*(1+G$6+0.03)*Replace_Cost</f>
        <v>20040671.06382</v>
      </c>
      <c r="H12" s="47" t="n">
        <f aca="false">((ROUND(Hc_Total*Hc_RD_Share,0)*Inc_RD*12) + (ROUND(Hc_Total*Hc_Sales_Share,0)*Inc_Sales*12) + ((Hc_Total - ROUND(Hc_Total*Hc_RD_Share,0) - ROUND(Hc_Total*Hc_Sales_Share,0))*Inc_GA*12))*(1+H$6+0.03)+((ROUND(Hc_Total*Hc_RD_Share,0)*Attr_RD*$B12*Inc_RD*12) + (ROUND(Hc_Total*Hc_Sales_Share,0)*Attr_Sales*$B12*Inc_Sales*12) + ((Hc_Total - ROUND(Hc_Total*Hc_RD_Share,0) - ROUND(Hc_Total*Hc_Sales_Share,0))*Attr_GA*$B12*Inc_GA*12))*(1+H$6+0.03)*Replace_Cost</f>
        <v>20222858.982582</v>
      </c>
    </row>
    <row r="15" customFormat="false" ht="15" hidden="false" customHeight="false" outlineLevel="0" collapsed="false">
      <c r="B15" s="25" t="s">
        <v>133</v>
      </c>
      <c r="C15" s="25"/>
      <c r="D15" s="25"/>
      <c r="E15" s="25"/>
      <c r="F15" s="25"/>
      <c r="G15" s="25"/>
      <c r="H15" s="25"/>
      <c r="I15" s="25"/>
    </row>
  </sheetData>
  <mergeCells count="3">
    <mergeCell ref="B2:I2"/>
    <mergeCell ref="B4:I4"/>
    <mergeCell ref="B15:I15"/>
  </mergeCells>
  <conditionalFormatting sqref="C7:H1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5" min="3" style="0" width="22"/>
  </cols>
  <sheetData>
    <row r="2" customFormat="false" ht="31.5" hidden="false" customHeight="true" outlineLevel="0" collapsed="false">
      <c r="B2" s="12" t="s">
        <v>134</v>
      </c>
      <c r="C2" s="12"/>
      <c r="D2" s="12"/>
      <c r="E2" s="12"/>
    </row>
    <row r="4" customFormat="false" ht="15" hidden="false" customHeight="false" outlineLevel="0" collapsed="false">
      <c r="B4" s="27" t="s">
        <v>109</v>
      </c>
      <c r="C4" s="27" t="s">
        <v>92</v>
      </c>
      <c r="D4" s="27" t="s">
        <v>93</v>
      </c>
      <c r="E4" s="27" t="s">
        <v>94</v>
      </c>
    </row>
    <row r="5" customFormat="false" ht="15" hidden="false" customHeight="false" outlineLevel="0" collapsed="false">
      <c r="B5" s="9" t="s">
        <v>135</v>
      </c>
      <c r="C5" s="35" t="n">
        <f aca="false">Hc_Total</f>
        <v>200</v>
      </c>
      <c r="D5" s="35" t="n">
        <f aca="false">Hc_Total</f>
        <v>200</v>
      </c>
      <c r="E5" s="35" t="n">
        <f aca="false">Hc_Total</f>
        <v>200</v>
      </c>
    </row>
    <row r="6" customFormat="false" ht="15" hidden="false" customHeight="false" outlineLevel="0" collapsed="false">
      <c r="B6" s="8" t="s">
        <v>136</v>
      </c>
      <c r="C6" s="38" t="n">
        <f aca="false">INDEX(Scen_Sal_Range,1,1)</f>
        <v>0.065</v>
      </c>
      <c r="D6" s="38" t="n">
        <f aca="false">INDEX(Scen_Sal_Range,1,2)</f>
        <v>0.08</v>
      </c>
      <c r="E6" s="38" t="n">
        <f aca="false">INDEX(Scen_Sal_Range,1,3)</f>
        <v>0.11</v>
      </c>
    </row>
    <row r="7" customFormat="false" ht="15" hidden="false" customHeight="false" outlineLevel="0" collapsed="false">
      <c r="B7" s="8" t="s">
        <v>137</v>
      </c>
      <c r="C7" s="39" t="n">
        <f aca="false">INDEX(Scen_Attr_Range,1,1)</f>
        <v>0.85</v>
      </c>
      <c r="D7" s="39" t="n">
        <f aca="false">INDEX(Scen_Attr_Range,1,2)</f>
        <v>1</v>
      </c>
      <c r="E7" s="39" t="n">
        <f aca="false">INDEX(Scen_Attr_Range,1,3)</f>
        <v>1.25</v>
      </c>
    </row>
    <row r="9" customFormat="false" ht="15" hidden="false" customHeight="false" outlineLevel="0" collapsed="false">
      <c r="B9" s="8" t="s">
        <v>117</v>
      </c>
      <c r="C9" s="37" t="n">
        <f aca="false">((ROUND(Hc_Total*Hc_RD_Share,0)*Inc_RD*12) + (ROUND(Hc_Total*Hc_Sales_Share,0)*Inc_Sales*12) + ((Hc_Total - ROUND(Hc_Total*Hc_RD_Share,0) - ROUND(Hc_Total*Hc_Sales_Share,0))*Inc_GA*12))*(1+INDEX(Scen_Sal_Range,1,1))</f>
        <v>16583072.4</v>
      </c>
      <c r="D9" s="37" t="n">
        <f aca="false">((ROUND(Hc_Total*Hc_RD_Share,0)*Inc_RD*12) + (ROUND(Hc_Total*Hc_Sales_Share,0)*Inc_Sales*12) + ((Hc_Total - ROUND(Hc_Total*Hc_RD_Share,0) - ROUND(Hc_Total*Hc_Sales_Share,0))*Inc_GA*12))*(1+INDEX(Scen_Sal_Range,1,2))</f>
        <v>16816636.8</v>
      </c>
      <c r="E9" s="37" t="n">
        <f aca="false">((ROUND(Hc_Total*Hc_RD_Share,0)*Inc_RD*12) + (ROUND(Hc_Total*Hc_Sales_Share,0)*Inc_Sales*12) + ((Hc_Total - ROUND(Hc_Total*Hc_RD_Share,0) - ROUND(Hc_Total*Hc_Sales_Share,0))*Inc_GA*12))*(1+INDEX(Scen_Sal_Range,1,3))</f>
        <v>17283765.6</v>
      </c>
    </row>
    <row r="10" customFormat="false" ht="15" hidden="false" customHeight="false" outlineLevel="0" collapsed="false">
      <c r="B10" s="8" t="s">
        <v>122</v>
      </c>
      <c r="C10" s="37" t="n">
        <f aca="false">((ROUND(Hc_Total*Hc_RD_Share,0)*Attr_RD*INDEX(Scen_Attr_Range,1,1)*Inc_RD*12) + (ROUND(Hc_Total*Hc_Sales_Share,0)*Attr_Sales*INDEX(Scen_Attr_Range,1,1)*Inc_Sales*12) + ((Hc_Total - ROUND(Hc_Total*Hc_RD_Share,0) - ROUND(Hc_Total*Hc_Sales_Share,0))*Attr_GA*INDEX(Scen_Attr_Range,1,1)*Inc_GA*12))*(1+INDEX(Scen_Sal_Range,1,1))*Replace_Cost</f>
        <v>1712107.00423575</v>
      </c>
      <c r="D10" s="37" t="n">
        <f aca="false">((ROUND(Hc_Total*Hc_RD_Share,0)*Attr_RD*INDEX(Scen_Attr_Range,1,2)*Inc_RD*12) + (ROUND(Hc_Total*Hc_Sales_Share,0)*Attr_Sales*INDEX(Scen_Attr_Range,1,2)*Inc_Sales*12) + ((Hc_Total - ROUND(Hc_Total*Hc_RD_Share,0) - ROUND(Hc_Total*Hc_Sales_Share,0))*Attr_GA*INDEX(Scen_Attr_Range,1,2)*Inc_GA*12))*(1+INDEX(Scen_Sal_Range,1,2))*Replace_Cost</f>
        <v>2042613.16164</v>
      </c>
      <c r="E10" s="37" t="n">
        <f aca="false">((ROUND(Hc_Total*Hc_RD_Share,0)*Attr_RD*INDEX(Scen_Attr_Range,1,3)*Inc_RD*12) + (ROUND(Hc_Total*Hc_Sales_Share,0)*Attr_Sales*INDEX(Scen_Attr_Range,1,3)*Inc_Sales*12) + ((Hc_Total - ROUND(Hc_Total*Hc_RD_Share,0) - ROUND(Hc_Total*Hc_Sales_Share,0))*Attr_GA*INDEX(Scen_Attr_Range,1,3)*Inc_GA*12))*(1+INDEX(Scen_Sal_Range,1,3))*Replace_Cost</f>
        <v>2624190.5201625</v>
      </c>
    </row>
    <row r="12" customFormat="false" ht="15" hidden="false" customHeight="false" outlineLevel="0" collapsed="false">
      <c r="B12" s="41" t="s">
        <v>123</v>
      </c>
      <c r="C12" s="43" t="n">
        <f aca="false">C9+C10</f>
        <v>18295179.4042357</v>
      </c>
      <c r="D12" s="43" t="n">
        <f aca="false">D9+D10</f>
        <v>18859249.96164</v>
      </c>
      <c r="E12" s="43" t="n">
        <f aca="false">E9+E10</f>
        <v>19907956.1201625</v>
      </c>
    </row>
    <row r="13" customFormat="false" ht="15" hidden="false" customHeight="false" outlineLevel="0" collapsed="false">
      <c r="B13" s="9" t="s">
        <v>138</v>
      </c>
      <c r="C13" s="37" t="n">
        <f aca="false">C12/Hc_Total</f>
        <v>91475.8970211787</v>
      </c>
      <c r="D13" s="37" t="n">
        <f aca="false">D12/Hc_Total</f>
        <v>94296.2498082</v>
      </c>
      <c r="E13" s="37" t="n">
        <f aca="false">E12/Hc_Total</f>
        <v>99539.7806008125</v>
      </c>
    </row>
    <row r="15" customFormat="false" ht="15" hidden="false" customHeight="false" outlineLevel="0" collapsed="false">
      <c r="B15" s="9" t="s">
        <v>139</v>
      </c>
      <c r="C15" s="37" t="n">
        <f aca="false">C12-D12</f>
        <v>-564070.557404254</v>
      </c>
      <c r="D15" s="37" t="n">
        <v>0</v>
      </c>
      <c r="E15" s="37" t="n">
        <f aca="false">E12-D12</f>
        <v>1048706.1585225</v>
      </c>
    </row>
    <row r="16" customFormat="false" ht="15" hidden="false" customHeight="false" outlineLevel="0" collapsed="false">
      <c r="B16" s="9" t="s">
        <v>140</v>
      </c>
      <c r="C16" s="48" t="n">
        <f aca="false">(C12-D12)/D12</f>
        <v>-0.0299094904914873</v>
      </c>
      <c r="D16" s="48" t="n">
        <v>0</v>
      </c>
      <c r="E16" s="48" t="n">
        <f aca="false">(E12-D12)/D12</f>
        <v>0.0556069918292395</v>
      </c>
    </row>
    <row r="19" customFormat="false" ht="17.35" hidden="false" customHeight="false" outlineLevel="0" collapsed="false">
      <c r="B19" s="3" t="s">
        <v>141</v>
      </c>
      <c r="C19" s="3"/>
      <c r="D19" s="3"/>
      <c r="E19" s="3"/>
    </row>
    <row r="20" customFormat="false" ht="30" hidden="false" customHeight="true" outlineLevel="0" collapsed="false">
      <c r="B20" s="9" t="s">
        <v>142</v>
      </c>
      <c r="C20" s="4" t="s">
        <v>143</v>
      </c>
      <c r="D20" s="4"/>
      <c r="E20" s="4"/>
    </row>
    <row r="21" customFormat="false" ht="30" hidden="false" customHeight="true" outlineLevel="0" collapsed="false">
      <c r="B21" s="9" t="s">
        <v>144</v>
      </c>
      <c r="C21" s="4" t="s">
        <v>145</v>
      </c>
      <c r="D21" s="4"/>
      <c r="E21" s="4"/>
    </row>
    <row r="22" customFormat="false" ht="30" hidden="false" customHeight="true" outlineLevel="0" collapsed="false">
      <c r="B22" s="9" t="s">
        <v>146</v>
      </c>
      <c r="C22" s="4" t="s">
        <v>147</v>
      </c>
      <c r="D22" s="4"/>
      <c r="E22" s="4"/>
    </row>
    <row r="23" customFormat="false" ht="30" hidden="false" customHeight="true" outlineLevel="0" collapsed="false">
      <c r="B23" s="9" t="s">
        <v>148</v>
      </c>
      <c r="C23" s="4" t="s">
        <v>149</v>
      </c>
      <c r="D23" s="4"/>
      <c r="E23" s="4"/>
    </row>
  </sheetData>
  <mergeCells count="6">
    <mergeCell ref="B2:E2"/>
    <mergeCell ref="B19:E19"/>
    <mergeCell ref="C20:E20"/>
    <mergeCell ref="C21:E21"/>
    <mergeCell ref="C22:E22"/>
    <mergeCell ref="C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2026-05-06T07:09:13Z</dcterms:created>
  <dc:creator>openpyxl</dc:creator>
  <dc:description/>
  <dc:language>en-US</dc:language>
  <cp:lastModifiedBy/>
  <dcterms:modified xsi:type="dcterms:W3CDTF">2026-05-06T07:09:13Z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