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AT_Statements" sheetId="2" state="visible" r:id="rId4"/>
    <sheet name="FCF_Forecast" sheetId="3" state="visible" r:id="rId5"/>
    <sheet name="Project_CF" sheetId="4" state="visible" r:id="rId6"/>
    <sheet name="Inputs" sheetId="5" state="visible" r:id="rId7"/>
    <sheet name="WACC_Scenarios" sheetId="6" state="visible" r:id="rId8"/>
    <sheet name="NPV_Engine" sheetId="7" state="visible" r:id="rId9"/>
    <sheet name="Sensitivity" sheetId="8" state="visible" r:id="rId10"/>
    <sheet name="Summary" sheetId="9" state="visible" r:id="rId11"/>
  </sheets>
  <definedNames>
    <definedName function="false" hidden="false" name="Beta" vbProcedure="false">Inputs!$C$8</definedName>
    <definedName function="false" hidden="false" name="Domestic_CF" vbProcedure="false">Project_CF!$C$7:$M$7</definedName>
    <definedName function="false" hidden="false" name="ERP" vbProcedure="false">Inputs!$C$7</definedName>
    <definedName function="false" hidden="false" name="FCF_2014" vbProcedure="false">CAT_Statements!$C$17</definedName>
    <definedName function="false" hidden="false" name="FCF_2015" vbProcedure="false">CAT_Statements!$D$17</definedName>
    <definedName function="false" hidden="false" name="FCF_2016" vbProcedure="false">CAT_Statements!$E$17</definedName>
    <definedName function="false" hidden="false" name="FCF_2017" vbProcedure="false">CAT_Statements!$F$17</definedName>
    <definedName function="false" hidden="false" name="FCF_2018" vbProcedure="false">CAT_Statements!$G$17</definedName>
    <definedName function="false" hidden="false" name="FCF_Baseline" vbProcedure="false">FCF_Forecast!$C$7</definedName>
    <definedName function="false" hidden="false" name="Growth_Base" vbProcedure="false">FCF_Forecast!$C$9</definedName>
    <definedName function="false" hidden="false" name="Growth_High" vbProcedure="false">FCF_Forecast!$C$10</definedName>
    <definedName function="false" hidden="false" name="Growth_Low" vbProcedure="false">FCF_Forecast!$C$8</definedName>
    <definedName function="false" hidden="false" name="Outsource_CF" vbProcedure="false">Project_CF!$C$8:$M$8</definedName>
    <definedName function="false" hidden="false" name="RF_Rate" vbProcedure="false">Inputs!$C$6</definedName>
    <definedName function="false" hidden="false" name="WACC_Active" vbProcedure="false">WACC_Scenarios!$C$12</definedName>
    <definedName function="false" hidden="false" name="WACC_Base" vbProcedure="false">WACC_Scenarios!$D$9</definedName>
    <definedName function="false" hidden="false" name="WACC_High" vbProcedure="false">WACC_Scenarios!$E$9</definedName>
    <definedName function="false" hidden="false" name="WACC_Low" vbProcedure="false">WACC_Scenarios!$C$9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<sst xmlns="http://schemas.openxmlformats.org/spreadsheetml/2006/main" count="221" uniqueCount="194">
  <si>
    <t xml:space="preserve">Project Risk Audit</t>
  </si>
  <si>
    <t xml:space="preserve">Capital Deployment &amp; Macro Stress-Testing | Caterpillar (CAT) anchor</t>
  </si>
  <si>
    <t xml:space="preserve">Engagement Brief</t>
  </si>
  <si>
    <t xml:space="preserve">A manufacturing conglomerate is choosing between automating a domestic plant or outsourcing production. We evaluate the risk-adjusted return under three macro scenarios (Low Growth, Base, High Inflation), using Caterpillar Inc. as the anchor manufacturer to scale realistic cash flow profiles. The audit produces NPV, IRR, and a 2-way sensitivity grid showing how the project ranking shifts with WACC and price elasticity.</t>
  </si>
  <si>
    <t xml:space="preserve">Anchor Company</t>
  </si>
  <si>
    <t xml:space="preserve">Ticker</t>
  </si>
  <si>
    <t xml:space="preserve">CAT (Caterpillar Inc.)</t>
  </si>
  <si>
    <t xml:space="preserve">Sector</t>
  </si>
  <si>
    <t xml:space="preserve">Industrials - Heavy Equipment / Construction Machinery</t>
  </si>
  <si>
    <t xml:space="preserve">Why CAT</t>
  </si>
  <si>
    <t xml:space="preserve">Capex-heavy manufacturer with full 5-year history (2014-2018), visible cyclicality</t>
  </si>
  <si>
    <t xml:space="preserve">5-yr Revenue range</t>
  </si>
  <si>
    <t xml:space="preserve">$38.5B (2016 trough) - $55.2B (2014 peak)</t>
  </si>
  <si>
    <t xml:space="preserve">5-yr FCF range</t>
  </si>
  <si>
    <t xml:space="preserve">$3.6B - $5.6B (more stable than Net Income due to capex discipline)</t>
  </si>
  <si>
    <t xml:space="preserve">Methodology</t>
  </si>
  <si>
    <t xml:space="preserve">Cash flow forecast</t>
  </si>
  <si>
    <t xml:space="preserve">Median 5-yr FCF as steady-state baseline + explicit 1%/2.5%/4% growth scenarios</t>
  </si>
  <si>
    <t xml:space="preserve">Risk distribution</t>
  </si>
  <si>
    <t xml:space="preserve">Cross-sectional sigma of 5-yr Industrials sector returns (n = ~2,500 ticker-years)</t>
  </si>
  <si>
    <t xml:space="preserve">Risk premium</t>
  </si>
  <si>
    <t xml:space="preserve">CAPM-style: WACC = rf + beta x ERP; ERP scaled by scenario (0.7x / 1.0x / 2.0x base)</t>
  </si>
  <si>
    <t xml:space="preserve">Sensitivity</t>
  </si>
  <si>
    <t xml:space="preserve">2-way data table sweeping WACC (5-15%) x Price Elasticity (-2.0 to 0.0)</t>
  </si>
  <si>
    <t xml:space="preserve">How to use this workbook</t>
  </si>
  <si>
    <t xml:space="preserve">1. Inputs</t>
  </si>
  <si>
    <t xml:space="preserve">Edit BLUE cells - macro assumptions, project capex, growth rates</t>
  </si>
  <si>
    <t xml:space="preserve">2. WACC_Scenarios</t>
  </si>
  <si>
    <t xml:space="preserve">Three named scenarios; toggle Active Scenario to rerun the model</t>
  </si>
  <si>
    <t xml:space="preserve">3. NPV_Engine</t>
  </si>
  <si>
    <t xml:space="preserve">Live NPV/IRR for both projects; formulas pull from Inputs + Scenarios</t>
  </si>
  <si>
    <t xml:space="preserve">4. Sensitivity</t>
  </si>
  <si>
    <t xml:space="preserve">2-way data table - shows project winner across WACC x Elasticity grid</t>
  </si>
  <si>
    <t xml:space="preserve">5. Summary</t>
  </si>
  <si>
    <t xml:space="preserve">Executive ranking and recommendation</t>
  </si>
  <si>
    <t xml:space="preserve">Color coding</t>
  </si>
  <si>
    <t xml:space="preserve">BLUE TEXT</t>
  </si>
  <si>
    <t xml:space="preserve">Hardcoded inputs - editable</t>
  </si>
  <si>
    <t xml:space="preserve">BLACK TEXT</t>
  </si>
  <si>
    <t xml:space="preserve">Formulas - do not overwrite</t>
  </si>
  <si>
    <t xml:space="preserve">GREEN TEXT</t>
  </si>
  <si>
    <t xml:space="preserve">Cross-sheet links</t>
  </si>
  <si>
    <t xml:space="preserve">YELLOW BG</t>
  </si>
  <si>
    <t xml:space="preserve">Critical assumptions - edit first when stress-testing</t>
  </si>
  <si>
    <t xml:space="preserve">Caterpillar (CAT) - 5-Year Financial Panel &amp; Ratio Analysis</t>
  </si>
  <si>
    <t xml:space="preserve">Source: Kaggle 200-financial-indicators-of-us-stocks-2014-2018. All values in USD millions unless marked otherwise. Margins displayed as percentages.</t>
  </si>
  <si>
    <t xml:space="preserve">Line item ($M unless noted)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</si>
  <si>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</si>
  <si>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</si>
  <si>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</si>
  <si>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</si>
  <si>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</si>
  <si>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INCOME STATEMENT</t>
  </si>
  <si>
    <t xml:space="preserve">Revenue</t>
  </si>
  <si>
    <t xml:space="preserve">Cost of Revenue</t>
  </si>
  <si>
    <t xml:space="preserve">Gross Profit</t>
  </si>
  <si>
    <t xml:space="preserve">Operating Income</t>
  </si>
  <si>
    <t xml:space="preserve">EBITDA</t>
  </si>
  <si>
    <t xml:space="preserve">Net Income</t>
  </si>
  <si>
    <t xml:space="preserve">CASH FLOW</t>
  </si>
  <si>
    <t xml:space="preserve">Operating Cash Flow</t>
  </si>
  <si>
    <t xml:space="preserve">Free Cash Flow</t>
  </si>
  <si>
    <t xml:space="preserve">Capex</t>
  </si>
  <si>
    <t xml:space="preserve">BALANCE SHEET</t>
  </si>
  <si>
    <t xml:space="preserve">Total Assets</t>
  </si>
  <si>
    <t xml:space="preserve">Total Debt</t>
  </si>
  <si>
    <t xml:space="preserve">Shareholders Equity</t>
  </si>
  <si>
    <t xml:space="preserve">RATIO ANALYSIS</t>
  </si>
  <si>
    <t xml:space="preserve">Gross Margin</t>
  </si>
  <si>
    <t xml:space="preserve">EBITDA Margin</t>
  </si>
  <si>
    <t xml:space="preserve">Net Margin</t>
  </si>
  <si>
    <t xml:space="preserve">FCF Margin</t>
  </si>
  <si>
    <t xml:space="preserve">Capex / Revenue</t>
  </si>
  <si>
    <t xml:space="preserve">Debt / Equity</t>
  </si>
  <si>
    <t xml:space="preserve">Current Ratio</t>
  </si>
  <si>
    <t xml:space="preserve">Net Debt / EBITDA</t>
  </si>
  <si>
    <t xml:space="preserve">10-Year FCF Forecast (Cyclical-Aware Methodology)</t>
  </si>
  <si>
    <t xml:space="preserve">Methodology: A naive linear regression on CAT Revenue produces R^2 = 0.003 (no trend). Standard FP&amp;A practice for cyclical names uses median 5-yr FCF as steady-state baseline plus explicit growth scenarios.</t>
  </si>
  <si>
    <t xml:space="preserve">ASSUMPTIONS</t>
  </si>
  <si>
    <t xml:space="preserve">Median 5-yr FCF baseline ($M)</t>
  </si>
  <si>
    <t xml:space="preserve">Low Growth assumption</t>
  </si>
  <si>
    <t xml:space="preserve">Base Case growth</t>
  </si>
  <si>
    <t xml:space="preserve">High Growth assumption</t>
  </si>
  <si>
    <t xml:space="preserve">FORECAST ($M)</t>
  </si>
  <si>
    <t xml:space="preserve">Low Growth (1%)</t>
  </si>
  <si>
    <t xml:space="preserve">Base Case (2.5%)</t>
  </si>
  <si>
    <t xml:space="preserve">High Growth (4%)</t>
  </si>
  <si>
    <t xml:space="preserve">Cumulative Base ($M)</t>
  </si>
  <si>
    <t xml:space="preserve">Project Cash Flow Profiles</t>
  </si>
  <si>
    <t xml:space="preserve">Two competing capital projects, each scaled to ~$2B initial capex (Domestic) and ~$0.4B (Outsource). Cash flows reflect typical patterns: heavy capex with delayed ramp-up vs light capex with margin compression by vendor over time.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</si>
  <si>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</si>
  <si>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</si>
  <si>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</si>
  <si>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</si>
  <si>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</si>
  <si>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</si>
  <si>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</si>
  <si>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</si>
  <si>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</si>
  <si>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</si>
  <si>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</si>
  <si>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</si>
  <si>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Domestic Automation ($M)</t>
  </si>
  <si>
    <t xml:space="preserve">Outsourcing ($M)</t>
  </si>
  <si>
    <t xml:space="preserve">Sum (undiscounted)</t>
  </si>
  <si>
    <t xml:space="preserve">Initial Capex</t>
  </si>
  <si>
    <t xml:space="preserve">Macro &amp; Risk Inputs</t>
  </si>
  <si>
    <t xml:space="preserve">1. Macro &amp; CAPM Inputs</t>
  </si>
  <si>
    <t xml:space="preserve">Parameter</t>
  </si>
  <si>
    <t xml:space="preserve">Value</t>
  </si>
  <si>
    <t xml:space="preserve">Unit</t>
  </si>
  <si>
    <t xml:space="preserve">Note</t>
  </si>
  <si>
    <t xml:space="preserve">Risk-free rate (rf)</t>
  </si>
  <si>
    <t xml:space="preserve">%</t>
  </si>
  <si>
    <t xml:space="preserve">10-yr US Treasury proxy</t>
  </si>
  <si>
    <t xml:space="preserve">Equity risk premium (ERP)</t>
  </si>
  <si>
    <t xml:space="preserve">Long-run US equity premium over Treasuries</t>
  </si>
  <si>
    <t xml:space="preserve">Beta proxy</t>
  </si>
  <si>
    <t xml:space="preserve">CAT historical beta is 1.0-1.3; 1.0 conservative</t>
  </si>
  <si>
    <t xml:space="preserve">Project horizon</t>
  </si>
  <si>
    <t xml:space="preserve">yrs</t>
  </si>
  <si>
    <t xml:space="preserve">Standard capex evaluation horizon</t>
  </si>
  <si>
    <t xml:space="preserve">2. Sector Return Distribution (from notebook)</t>
  </si>
  <si>
    <t xml:space="preserve">Statistic</t>
  </si>
  <si>
    <t xml:space="preserve">Source</t>
  </si>
  <si>
    <t xml:space="preserve">Sample size (ticker-years)</t>
  </si>
  <si>
    <t xml:space="preserve">n</t>
  </si>
  <si>
    <t xml:space="preserve">Industrials, 5 years</t>
  </si>
  <si>
    <t xml:space="preserve">Sector mean return</t>
  </si>
  <si>
    <t xml:space="preserve">Annual return, pooled</t>
  </si>
  <si>
    <t xml:space="preserve">Sector sigma (cross-sectional)</t>
  </si>
  <si>
    <t xml:space="preserve">Cross-firm dispersion</t>
  </si>
  <si>
    <t xml:space="preserve">Sector variance</t>
  </si>
  <si>
    <t xml:space="preserve">%^2</t>
  </si>
  <si>
    <t xml:space="preserve">sigma^2</t>
  </si>
  <si>
    <t xml:space="preserve">Skewness</t>
  </si>
  <si>
    <t xml:space="preserve">Right-tailed if &gt; 0</t>
  </si>
  <si>
    <t xml:space="preserve">Kurtosis (excess)</t>
  </si>
  <si>
    <t xml:space="preserve">Fat tails if &gt; 0</t>
  </si>
  <si>
    <t xml:space="preserve">WACC Scenarios - 3 Macro States</t>
  </si>
  <si>
    <t xml:space="preserve">Three named scenarios are computed via CAPM: WACC = rf + beta x ERP_scenario. The ERP scaling reflects how the sector return distribution narrows in low-growth environments and widens under inflation shocks.</t>
  </si>
  <si>
    <t xml:space="preserve">Low Growth</t>
  </si>
  <si>
    <t xml:space="preserve">Base Case</t>
  </si>
  <si>
    <t xml:space="preserve">High Inflation</t>
  </si>
  <si>
    <t xml:space="preserve">ERP Scaler</t>
  </si>
  <si>
    <t xml:space="preserve">ERP_scenario</t>
  </si>
  <si>
    <t xml:space="preserve">WACC = rf + beta x ERP_scenario</t>
  </si>
  <si>
    <t xml:space="preserve">Active Scenario:</t>
  </si>
  <si>
    <t xml:space="preserve">(1=LowG, 2=Base, 3=HighInf)</t>
  </si>
  <si>
    <t xml:space="preserve">Active WACC</t>
  </si>
  <si>
    <t xml:space="preserve">Rationale</t>
  </si>
  <si>
    <t xml:space="preserve">Depressed ERP reflects</t>
  </si>
  <si>
    <t xml:space="preserve">Standard CAPM at</t>
  </si>
  <si>
    <t xml:space="preserve">Elevated ERP reflects</t>
  </si>
  <si>
    <t xml:space="preserve">muted growth expectations</t>
  </si>
  <si>
    <t xml:space="preserve">long-run averages</t>
  </si>
  <si>
    <t xml:space="preserve">inflation shock pricing</t>
  </si>
  <si>
    <t xml:space="preserve">NPV / IRR Engine</t>
  </si>
  <si>
    <t xml:space="preserve">Domestic CF (link)</t>
  </si>
  <si>
    <t xml:space="preserve">Discount factor</t>
  </si>
  <si>
    <t xml:space="preserve">Discounted CF</t>
  </si>
  <si>
    <t xml:space="preserve">Outsource CF (link)</t>
  </si>
  <si>
    <t xml:space="preserve">DECISION METRICS</t>
  </si>
  <si>
    <t xml:space="preserve">Domestic</t>
  </si>
  <si>
    <t xml:space="preserve">Outsource</t>
  </si>
  <si>
    <t xml:space="preserve">NPV ($M)</t>
  </si>
  <si>
    <t xml:space="preserve">IRR</t>
  </si>
  <si>
    <t xml:space="preserve">Profitability Index (NPV/Capex)</t>
  </si>
  <si>
    <t xml:space="preserve">Payback period (years)</t>
  </si>
  <si>
    <t xml:space="preserve">Sensitivity - NPV by WACC x Price Elasticity</t>
  </si>
  <si>
    <t xml:space="preserve">This 2-way data table shows the NPV difference (Domestic - Outsource, $M) across WACC and Price Elasticity. Positive (green) cells = Domestic wins. Negative (red) cells = Outsource wins. The cross-over diagonal is the key audit signal.</t>
  </si>
  <si>
    <t xml:space="preserve">Elasticity v   |   WACC &gt;</t>
  </si>
  <si>
    <t xml:space="preserve">DOMESTIC NPV ($M)</t>
  </si>
  <si>
    <t xml:space="preserve">OUTSOURCE NPV ($M)</t>
  </si>
  <si>
    <t xml:space="preserve">DIFFERENCE: Domestic - Outsource</t>
  </si>
  <si>
    <t xml:space="preserve">Values shown in $M (i.e. divided by 1,000 for display).</t>
  </si>
  <si>
    <t xml:space="preserve">Executive Summary - Project Risk Audit</t>
  </si>
  <si>
    <t xml:space="preserve">Metric</t>
  </si>
  <si>
    <t xml:space="preserve">WACC</t>
  </si>
  <si>
    <t xml:space="preserve">DOMESTIC PROJECT</t>
  </si>
  <si>
    <t xml:space="preserve">OUTSOURCE PROJECT</t>
  </si>
  <si>
    <t xml:space="preserve">WINNER (higher NPV)</t>
  </si>
  <si>
    <t xml:space="preserve">NPV gap ($M)</t>
  </si>
  <si>
    <t xml:space="preserve">Recommendation</t>
  </si>
  <si>
    <t xml:space="preserve">Decision rule</t>
  </si>
  <si>
    <t xml:space="preserve">Domestic Automation if WACC &lt; ~10.5% (cross-over), Outsource if WACC &gt; 10.5%</t>
  </si>
  <si>
    <t xml:space="preserve">Risk-aware view</t>
  </si>
  <si>
    <t xml:space="preserve">In Low Growth and Base Case, Domestic dominates; under High Inflation, ranking flips - the audit's central insight.</t>
  </si>
  <si>
    <t xml:space="preserve">Sensitivity to elasticity</t>
  </si>
  <si>
    <t xml:space="preserve">Elasticity matters less than WACC: at any given WACC, the winner does not change as elasticity moves from 0 to -2. Macro risk dominates competitive risk in this model.</t>
  </si>
  <si>
    <t xml:space="preserve">Action</t>
  </si>
  <si>
    <t xml:space="preserve">Recommend Domestic Automation conditional on Fed rate stability. Build a CDS-style trigger: if 10-yr Treasury rises beyond 4.5% (implying WACC &gt; 10.5%), pause the project and re-evaluate outsourcing.</t>
  </si>
  <si>
    <t xml:space="preserve">Risk hedge</t>
  </si>
  <si>
    <t xml:space="preserve">Negotiate phased capex in Domestic project (e.g. 60% upfront, 40% upon ramp success at Y2) to preserve optionality.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</si>
</sst>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0%"/>
    <numFmt numFmtId="167" formatCode="0.00"/>
    <numFmt numFmtId="168" formatCode="#,##0"/>
    <numFmt numFmtId="169" formatCode="0.0%"/>
    <numFmt numFmtId="170" formatCode="0"/>
    <numFmt numFmtId="171" formatCode="0.000"/>
    <numFmt numFmtId="172" formatCode="0.0000"/>
    <numFmt numFmtId="173" formatCode="0.0"/>
    <numFmt numFmtId="174" formatCode="0%"/>
    <numFmt numFmtId="175" formatCode="#,##0,;\(#,##0,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FFFFF"/>
      </patternFill>
    </fill>
    <fill>
      <patternFill patternType="solid">
        <fgColor rgb="FF2E7D7D"/>
        <bgColor rgb="FF008080"/>
      </patternFill>
    </fill>
    <fill>
      <patternFill patternType="solid">
        <fgColor rgb="FFFFE699"/>
        <bgColor rgb="FFFFCC99"/>
      </patternFill>
    </fill>
    <fill>
      <patternFill patternType="solid">
        <fgColor rgb="FFE07A1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75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5" customFormat="false" ht="15" hidden="false" customHeight="false" outlineLevel="0" collapsed="false">
      <c r="B15" s="5" t="s">
        <v>13</v>
      </c>
      <c r="C15" s="6" t="s">
        <v>14</v>
      </c>
    </row>
    <row r="17" customFormat="false" ht="17.35" hidden="false" customHeight="false" outlineLevel="0" collapsed="false">
      <c r="B17" s="3" t="s">
        <v>15</v>
      </c>
      <c r="C17" s="3"/>
    </row>
    <row r="18" customFormat="false" ht="15" hidden="false" customHeight="false" outlineLevel="0" collapsed="false">
      <c r="B18" s="5" t="s">
        <v>16</v>
      </c>
      <c r="C18" s="6" t="s">
        <v>17</v>
      </c>
    </row>
    <row r="19" customFormat="false" ht="15" hidden="false" customHeight="false" outlineLevel="0" collapsed="false">
      <c r="B19" s="5" t="s">
        <v>18</v>
      </c>
      <c r="C19" s="6" t="s">
        <v>19</v>
      </c>
    </row>
    <row r="20" customFormat="false" ht="15" hidden="false" customHeight="false" outlineLevel="0" collapsed="false">
      <c r="B20" s="5" t="s">
        <v>20</v>
      </c>
      <c r="C20" s="6" t="s">
        <v>21</v>
      </c>
    </row>
    <row r="21" customFormat="false" ht="15" hidden="false" customHeight="false" outlineLevel="0" collapsed="false">
      <c r="B21" s="5" t="s">
        <v>22</v>
      </c>
      <c r="C21" s="6" t="s">
        <v>23</v>
      </c>
    </row>
    <row r="23" customFormat="false" ht="17.35" hidden="false" customHeight="false" outlineLevel="0" collapsed="false">
      <c r="B23" s="3" t="s">
        <v>24</v>
      </c>
      <c r="C23" s="3"/>
    </row>
    <row r="24" customFormat="false" ht="15" hidden="false" customHeight="false" outlineLevel="0" collapsed="false">
      <c r="B24" s="5" t="s">
        <v>25</v>
      </c>
      <c r="C24" s="6" t="s">
        <v>26</v>
      </c>
    </row>
    <row r="25" customFormat="false" ht="15" hidden="false" customHeight="false" outlineLevel="0" collapsed="false">
      <c r="B25" s="5" t="s">
        <v>27</v>
      </c>
      <c r="C25" s="6" t="s">
        <v>28</v>
      </c>
    </row>
    <row r="26" customFormat="false" ht="15" hidden="false" customHeight="false" outlineLevel="0" collapsed="false">
      <c r="B26" s="5" t="s">
        <v>29</v>
      </c>
      <c r="C26" s="6" t="s">
        <v>30</v>
      </c>
    </row>
    <row r="27" customFormat="false" ht="15" hidden="false" customHeight="false" outlineLevel="0" collapsed="false">
      <c r="B27" s="5" t="s">
        <v>31</v>
      </c>
      <c r="C27" s="6" t="s">
        <v>32</v>
      </c>
    </row>
    <row r="28" customFormat="false" ht="15" hidden="false" customHeight="false" outlineLevel="0" collapsed="false">
      <c r="B28" s="5" t="s">
        <v>33</v>
      </c>
      <c r="C28" s="6" t="s">
        <v>34</v>
      </c>
    </row>
    <row r="30" customFormat="false" ht="17.35" hidden="false" customHeight="false" outlineLevel="0" collapsed="false">
      <c r="B30" s="3" t="s">
        <v>35</v>
      </c>
      <c r="C30" s="3"/>
    </row>
    <row r="31" customFormat="false" ht="15" hidden="false" customHeight="false" outlineLevel="0" collapsed="false">
      <c r="B31" s="7" t="s">
        <v>36</v>
      </c>
      <c r="C31" s="8" t="s">
        <v>37</v>
      </c>
    </row>
    <row r="32" customFormat="false" ht="15" hidden="false" customHeight="false" outlineLevel="0" collapsed="false">
      <c r="B32" s="9" t="s">
        <v>38</v>
      </c>
      <c r="C32" s="8" t="s">
        <v>39</v>
      </c>
    </row>
    <row r="33" customFormat="false" ht="15" hidden="false" customHeight="false" outlineLevel="0" collapsed="false">
      <c r="B33" s="10" t="s">
        <v>40</v>
      </c>
      <c r="C33" s="8" t="s">
        <v>41</v>
      </c>
    </row>
    <row r="34" customFormat="false" ht="15" hidden="false" customHeight="false" outlineLevel="0" collapsed="false">
      <c r="B34" s="11" t="s">
        <v>42</v>
      </c>
      <c r="C34" s="8" t="s">
        <v>43</v>
      </c>
    </row>
  </sheetData>
  <mergeCells count="8">
    <mergeCell ref="B2:C4"/>
    <mergeCell ref="B5:C5"/>
    <mergeCell ref="B7:C7"/>
    <mergeCell ref="B8:C8"/>
    <mergeCell ref="B10:C10"/>
    <mergeCell ref="B17:C17"/>
    <mergeCell ref="B23:C23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8" min="3" style="0" width="14"/>
  </cols>
  <sheetData>
    <row r="2" customFormat="false" ht="30" hidden="false" customHeight="true" outlineLevel="0" collapsed="false">
      <c r="B2" s="12" t="s">
        <v>44</v>
      </c>
      <c r="C2" s="12"/>
      <c r="D2" s="12"/>
      <c r="E2" s="12"/>
      <c r="F2" s="12"/>
      <c r="G2" s="12"/>
      <c r="H2" s="12"/>
    </row>
    <row r="4" customFormat="false" ht="18" hidden="false" customHeight="true" outlineLevel="0" collapsed="false">
      <c r="B4" s="13" t="s">
        <v>45</v>
      </c>
      <c r="C4" s="13"/>
      <c r="D4" s="13"/>
      <c r="E4" s="13"/>
      <c r="F4" s="13"/>
      <c r="G4" s="13"/>
      <c r="H4" s="13"/>
    </row>
    <row r="6" customFormat="false" ht="15" hidden="false" customHeight="false" outlineLevel="0" collapsed="false">
      <c r="B6" s="14" t="s">
        <v>46</v>
      </c>
      <c r="C6" s="14" t="s">
        <v>47</v>
      </c>
      <c r="D6" s="14" t="s">
        <v>48</v>
      </c>
      <c r="E6" s="14" t="s">
        <v>49</v>
      </c>
      <c r="F6" s="14" t="s">
        <v>50</v>
      </c>
      <c r="G6" s="14" t="s">
        <v>51</v>
      </c>
    </row>
    <row r="7" customFormat="false" ht="15" hidden="false" customHeight="false" outlineLevel="0" collapsed="false">
      <c r="B7" s="15" t="s">
        <v>52</v>
      </c>
    </row>
    <row r="8" customFormat="false" ht="15" hidden="false" customHeight="false" outlineLevel="0" collapsed="false">
      <c r="B8" s="8" t="s">
        <v>53</v>
      </c>
      <c r="C8" s="16" t="n">
        <v>55184</v>
      </c>
      <c r="D8" s="16" t="n">
        <v>47011</v>
      </c>
      <c r="E8" s="16" t="n">
        <v>38537</v>
      </c>
      <c r="F8" s="16" t="n">
        <v>45462</v>
      </c>
      <c r="G8" s="16" t="n">
        <v>54722</v>
      </c>
    </row>
    <row r="9" customFormat="false" ht="15" hidden="false" customHeight="false" outlineLevel="0" collapsed="false">
      <c r="B9" s="8" t="s">
        <v>54</v>
      </c>
      <c r="C9" s="16" t="n">
        <v>41342</v>
      </c>
      <c r="D9" s="16" t="n">
        <v>34133</v>
      </c>
      <c r="E9" s="16" t="n">
        <v>28640</v>
      </c>
      <c r="F9" s="16" t="n">
        <v>31906</v>
      </c>
      <c r="G9" s="16" t="n">
        <v>37719</v>
      </c>
    </row>
    <row r="10" customFormat="false" ht="15" hidden="false" customHeight="false" outlineLevel="0" collapsed="false">
      <c r="B10" s="8" t="s">
        <v>55</v>
      </c>
      <c r="C10" s="16" t="n">
        <v>13842</v>
      </c>
      <c r="D10" s="16" t="n">
        <v>12878</v>
      </c>
      <c r="E10" s="16" t="n">
        <v>9897</v>
      </c>
      <c r="F10" s="16" t="n">
        <v>13556</v>
      </c>
      <c r="G10" s="16" t="n">
        <v>17003</v>
      </c>
    </row>
    <row r="11" customFormat="false" ht="15" hidden="false" customHeight="false" outlineLevel="0" collapsed="false">
      <c r="B11" s="8" t="s">
        <v>56</v>
      </c>
      <c r="C11" s="16" t="n">
        <v>3314</v>
      </c>
      <c r="D11" s="16" t="n">
        <v>3785</v>
      </c>
      <c r="E11" s="16" t="n">
        <v>1162</v>
      </c>
      <c r="F11" s="16" t="n">
        <v>4460</v>
      </c>
      <c r="G11" s="16" t="n">
        <v>8293</v>
      </c>
    </row>
    <row r="12" customFormat="false" ht="15" hidden="false" customHeight="false" outlineLevel="0" collapsed="false">
      <c r="B12" s="8" t="s">
        <v>57</v>
      </c>
      <c r="C12" s="16" t="n">
        <v>6791</v>
      </c>
      <c r="D12" s="16" t="n">
        <v>6981</v>
      </c>
      <c r="E12" s="16" t="n">
        <v>3664</v>
      </c>
      <c r="F12" s="16" t="n">
        <v>7501</v>
      </c>
      <c r="G12" s="16" t="n">
        <v>11015</v>
      </c>
    </row>
    <row r="13" customFormat="false" ht="15" hidden="false" customHeight="false" outlineLevel="0" collapsed="false">
      <c r="B13" s="8" t="s">
        <v>58</v>
      </c>
      <c r="C13" s="16" t="n">
        <v>2452</v>
      </c>
      <c r="D13" s="16" t="n">
        <v>2512</v>
      </c>
      <c r="E13" s="16" t="n">
        <v>-67</v>
      </c>
      <c r="F13" s="16" t="n">
        <v>754</v>
      </c>
      <c r="G13" s="16" t="n">
        <v>6147</v>
      </c>
    </row>
    <row r="15" customFormat="false" ht="15" hidden="false" customHeight="false" outlineLevel="0" collapsed="false">
      <c r="B15" s="15" t="s">
        <v>59</v>
      </c>
    </row>
    <row r="16" customFormat="false" ht="15" hidden="false" customHeight="false" outlineLevel="0" collapsed="false">
      <c r="B16" s="8" t="s">
        <v>60</v>
      </c>
      <c r="C16" s="16" t="n">
        <v>8057</v>
      </c>
      <c r="D16" s="16" t="n">
        <v>6699</v>
      </c>
      <c r="E16" s="16" t="n">
        <v>5639</v>
      </c>
      <c r="F16" s="16" t="n">
        <v>5706</v>
      </c>
      <c r="G16" s="16" t="n">
        <v>6558</v>
      </c>
    </row>
    <row r="17" customFormat="false" ht="15" hidden="false" customHeight="false" outlineLevel="0" collapsed="false">
      <c r="B17" s="8" t="s">
        <v>61</v>
      </c>
      <c r="C17" s="16" t="n">
        <v>5582</v>
      </c>
      <c r="D17" s="16" t="n">
        <v>4198</v>
      </c>
      <c r="E17" s="16" t="n">
        <v>3610</v>
      </c>
      <c r="F17" s="16" t="n">
        <v>4534</v>
      </c>
      <c r="G17" s="16" t="n">
        <v>4578</v>
      </c>
    </row>
    <row r="18" customFormat="false" ht="15" hidden="false" customHeight="false" outlineLevel="0" collapsed="false">
      <c r="B18" s="8" t="s">
        <v>62</v>
      </c>
      <c r="C18" s="16" t="n">
        <v>-2427.64948474</v>
      </c>
      <c r="D18" s="16" t="n">
        <v>-2450.2145047483</v>
      </c>
      <c r="E18" s="16" t="n">
        <v>-2031.6645514125</v>
      </c>
      <c r="F18" s="16" t="n">
        <v>-1178.2064657928</v>
      </c>
      <c r="G18" s="16" t="n">
        <v>-1975.677268428</v>
      </c>
    </row>
    <row r="20" customFormat="false" ht="15" hidden="false" customHeight="false" outlineLevel="0" collapsed="false">
      <c r="B20" s="15" t="s">
        <v>63</v>
      </c>
    </row>
    <row r="21" customFormat="false" ht="15" hidden="false" customHeight="false" outlineLevel="0" collapsed="false">
      <c r="B21" s="8" t="s">
        <v>64</v>
      </c>
      <c r="C21" s="16" t="n">
        <v>84681</v>
      </c>
      <c r="D21" s="16" t="n">
        <v>78342</v>
      </c>
      <c r="E21" s="16" t="n">
        <v>74704</v>
      </c>
      <c r="F21" s="16" t="n">
        <v>76962</v>
      </c>
      <c r="G21" s="16" t="n">
        <v>78509</v>
      </c>
    </row>
    <row r="22" customFormat="false" ht="15" hidden="false" customHeight="false" outlineLevel="0" collapsed="false">
      <c r="B22" s="8" t="s">
        <v>65</v>
      </c>
      <c r="C22" s="16" t="n">
        <v>39285</v>
      </c>
      <c r="D22" s="16" t="n">
        <v>38013</v>
      </c>
      <c r="E22" s="16" t="n">
        <v>36783</v>
      </c>
      <c r="F22" s="16" t="n">
        <v>34878</v>
      </c>
      <c r="G22" s="16" t="n">
        <v>36553</v>
      </c>
    </row>
    <row r="23" customFormat="false" ht="15" hidden="false" customHeight="false" outlineLevel="0" collapsed="false">
      <c r="B23" s="8" t="s">
        <v>66</v>
      </c>
      <c r="C23" s="16" t="n">
        <v>16746</v>
      </c>
      <c r="D23" s="16" t="n">
        <v>14809</v>
      </c>
      <c r="E23" s="16" t="n">
        <v>13213</v>
      </c>
      <c r="F23" s="16" t="n">
        <v>13766</v>
      </c>
      <c r="G23" s="16" t="n">
        <v>14080</v>
      </c>
    </row>
    <row r="25" customFormat="false" ht="15" hidden="false" customHeight="false" outlineLevel="0" collapsed="false">
      <c r="B25" s="15" t="s">
        <v>67</v>
      </c>
    </row>
    <row r="26" customFormat="false" ht="15" hidden="false" customHeight="false" outlineLevel="0" collapsed="false">
      <c r="B26" s="8" t="s">
        <v>68</v>
      </c>
      <c r="C26" s="17" t="n">
        <v>0.2508</v>
      </c>
      <c r="D26" s="17" t="n">
        <v>0.2739</v>
      </c>
      <c r="E26" s="17" t="n">
        <v>0.2568</v>
      </c>
      <c r="F26" s="17" t="n">
        <v>0.2982</v>
      </c>
      <c r="G26" s="17" t="n">
        <v>0.3107</v>
      </c>
    </row>
    <row r="27" customFormat="false" ht="15" hidden="false" customHeight="false" outlineLevel="0" collapsed="false">
      <c r="B27" s="8" t="s">
        <v>69</v>
      </c>
      <c r="C27" s="17" t="n">
        <v>0.123</v>
      </c>
      <c r="D27" s="17" t="n">
        <v>0.148</v>
      </c>
      <c r="E27" s="17" t="n">
        <v>0.095</v>
      </c>
      <c r="F27" s="17" t="n">
        <v>0.165</v>
      </c>
      <c r="G27" s="17" t="n">
        <v>0.201</v>
      </c>
    </row>
    <row r="28" customFormat="false" ht="15" hidden="false" customHeight="false" outlineLevel="0" collapsed="false">
      <c r="B28" s="8" t="s">
        <v>70</v>
      </c>
      <c r="C28" s="17" t="n">
        <v>0.044</v>
      </c>
      <c r="D28" s="17" t="n">
        <v>0.053</v>
      </c>
      <c r="E28" s="17" t="n">
        <v>-0.002</v>
      </c>
      <c r="F28" s="17" t="n">
        <v>0.017</v>
      </c>
      <c r="G28" s="17" t="n">
        <v>0.112</v>
      </c>
    </row>
    <row r="29" customFormat="false" ht="15" hidden="false" customHeight="false" outlineLevel="0" collapsed="false">
      <c r="B29" s="8" t="s">
        <v>71</v>
      </c>
      <c r="C29" s="17" t="n">
        <v>0.1012</v>
      </c>
      <c r="D29" s="17" t="n">
        <v>0.0893</v>
      </c>
      <c r="E29" s="17" t="n">
        <v>0.0937</v>
      </c>
      <c r="F29" s="17" t="n">
        <v>0.0997</v>
      </c>
      <c r="G29" s="17" t="n">
        <v>0.0837</v>
      </c>
    </row>
    <row r="30" customFormat="false" ht="15" hidden="false" customHeight="false" outlineLevel="0" collapsed="false">
      <c r="B30" s="8" t="s">
        <v>72</v>
      </c>
      <c r="C30" s="17" t="n">
        <v>0.044</v>
      </c>
      <c r="D30" s="17" t="n">
        <v>0.0521</v>
      </c>
      <c r="E30" s="17" t="n">
        <v>0.0527</v>
      </c>
      <c r="F30" s="17" t="n">
        <v>0.0259</v>
      </c>
      <c r="G30" s="17" t="n">
        <v>0.0361</v>
      </c>
    </row>
    <row r="31" customFormat="false" ht="15" hidden="false" customHeight="false" outlineLevel="0" collapsed="false">
      <c r="B31" s="8" t="s">
        <v>73</v>
      </c>
      <c r="C31" s="18" t="n">
        <v>2.3459</v>
      </c>
      <c r="D31" s="18" t="n">
        <v>2.5669</v>
      </c>
      <c r="E31" s="18" t="n">
        <v>2.7838</v>
      </c>
      <c r="F31" s="18" t="n">
        <v>2.5336</v>
      </c>
      <c r="G31" s="18" t="n">
        <v>2.5961</v>
      </c>
    </row>
    <row r="32" customFormat="false" ht="15" hidden="false" customHeight="false" outlineLevel="0" collapsed="false">
      <c r="B32" s="8" t="s">
        <v>74</v>
      </c>
      <c r="C32" s="18" t="n">
        <v>1.394</v>
      </c>
      <c r="D32" s="18" t="n">
        <v>1.277</v>
      </c>
      <c r="E32" s="18" t="n">
        <v>1.223</v>
      </c>
      <c r="F32" s="18" t="n">
        <v>1.346</v>
      </c>
      <c r="G32" s="18" t="n">
        <v>1.368</v>
      </c>
    </row>
    <row r="33" customFormat="false" ht="15" hidden="false" customHeight="false" outlineLevel="0" collapsed="false">
      <c r="B33" s="8" t="s">
        <v>75</v>
      </c>
      <c r="C33" s="18" t="n">
        <v>5.78</v>
      </c>
      <c r="D33" s="18" t="n">
        <v>5.45</v>
      </c>
      <c r="E33" s="18" t="n">
        <v>10.04</v>
      </c>
      <c r="F33" s="18" t="n">
        <v>4.65</v>
      </c>
      <c r="G33" s="18" t="n">
        <v>3.32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5" min="3" style="0" width="13"/>
  </cols>
  <sheetData>
    <row r="2" customFormat="false" ht="30" hidden="false" customHeight="true" outlineLevel="0" collapsed="false">
      <c r="B2" s="12" t="s">
        <v>76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customFormat="false" ht="30" hidden="false" customHeight="true" outlineLevel="0" collapsed="false">
      <c r="B4" s="19" t="s">
        <v>77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customFormat="false" ht="15" hidden="false" customHeight="false" outlineLevel="0" collapsed="false">
      <c r="B6" s="15" t="s">
        <v>78</v>
      </c>
    </row>
    <row r="7" customFormat="false" ht="15" hidden="false" customHeight="false" outlineLevel="0" collapsed="false">
      <c r="B7" s="8" t="s">
        <v>79</v>
      </c>
      <c r="C7" s="20" t="n">
        <f aca="false">MEDIAN(FCF_2014, FCF_2015, FCF_2016, FCF_2017, FCF_2018)</f>
        <v>4534</v>
      </c>
    </row>
    <row r="8" customFormat="false" ht="15" hidden="false" customHeight="false" outlineLevel="0" collapsed="false">
      <c r="B8" s="8" t="s">
        <v>80</v>
      </c>
      <c r="C8" s="21" t="n">
        <v>0.01</v>
      </c>
    </row>
    <row r="9" customFormat="false" ht="15" hidden="false" customHeight="false" outlineLevel="0" collapsed="false">
      <c r="B9" s="8" t="s">
        <v>81</v>
      </c>
      <c r="C9" s="21" t="n">
        <v>0.025</v>
      </c>
    </row>
    <row r="10" customFormat="false" ht="15" hidden="false" customHeight="false" outlineLevel="0" collapsed="false">
      <c r="B10" s="8" t="s">
        <v>82</v>
      </c>
      <c r="C10" s="21" t="n">
        <v>0.04</v>
      </c>
    </row>
    <row r="12" customFormat="false" ht="15" hidden="false" customHeight="false" outlineLevel="0" collapsed="false">
      <c r="B12" s="15" t="s">
        <v>83</v>
      </c>
    </row>
    <row r="13" customFormat="false" ht="15" hidden="false" customHeight="false" outlineLevel="0" collapsed="false">
      <c r="C13" s="22" t="n">
        <v>2019</v>
      </c>
      <c r="D13" s="22" t="n">
        <v>2020</v>
      </c>
      <c r="E13" s="22" t="n">
        <v>2021</v>
      </c>
      <c r="F13" s="22" t="n">
        <v>2022</v>
      </c>
      <c r="G13" s="22" t="n">
        <v>2023</v>
      </c>
      <c r="H13" s="22" t="n">
        <v>2024</v>
      </c>
      <c r="I13" s="22" t="n">
        <v>2025</v>
      </c>
      <c r="J13" s="22" t="n">
        <v>2026</v>
      </c>
      <c r="K13" s="22" t="n">
        <v>2027</v>
      </c>
      <c r="L13" s="22" t="n">
        <v>2028</v>
      </c>
    </row>
    <row r="14" customFormat="false" ht="15" hidden="false" customHeight="false" outlineLevel="0" collapsed="false">
      <c r="B14" s="8" t="s">
        <v>84</v>
      </c>
      <c r="C14" s="23" t="n">
        <f aca="false">FCF_Baseline*(1+Growth_Low)^1</f>
        <v>4579.34</v>
      </c>
      <c r="D14" s="23" t="n">
        <f aca="false">FCF_Baseline*(1+Growth_Low)^2</f>
        <v>4625.1334</v>
      </c>
      <c r="E14" s="23" t="n">
        <f aca="false">FCF_Baseline*(1+Growth_Low)^3</f>
        <v>4671.384734</v>
      </c>
      <c r="F14" s="23" t="n">
        <f aca="false">FCF_Baseline*(1+Growth_Low)^4</f>
        <v>4718.09858134</v>
      </c>
      <c r="G14" s="23" t="n">
        <f aca="false">FCF_Baseline*(1+Growth_Low)^5</f>
        <v>4765.2795671534</v>
      </c>
      <c r="H14" s="23" t="n">
        <f aca="false">FCF_Baseline*(1+Growth_Low)^6</f>
        <v>4812.93236282494</v>
      </c>
      <c r="I14" s="23" t="n">
        <f aca="false">FCF_Baseline*(1+Growth_Low)^7</f>
        <v>4861.06168645318</v>
      </c>
      <c r="J14" s="23" t="n">
        <f aca="false">FCF_Baseline*(1+Growth_Low)^8</f>
        <v>4909.67230331772</v>
      </c>
      <c r="K14" s="23" t="n">
        <f aca="false">FCF_Baseline*(1+Growth_Low)^9</f>
        <v>4958.76902635089</v>
      </c>
      <c r="L14" s="23" t="n">
        <f aca="false">FCF_Baseline*(1+Growth_Low)^10</f>
        <v>5008.3567166144</v>
      </c>
    </row>
    <row r="15" customFormat="false" ht="15" hidden="false" customHeight="false" outlineLevel="0" collapsed="false">
      <c r="B15" s="8" t="s">
        <v>85</v>
      </c>
      <c r="C15" s="23" t="n">
        <f aca="false">FCF_Baseline*(1+Growth_Base)^1</f>
        <v>4647.35</v>
      </c>
      <c r="D15" s="23" t="n">
        <f aca="false">FCF_Baseline*(1+Growth_Base)^2</f>
        <v>4763.53375</v>
      </c>
      <c r="E15" s="23" t="n">
        <f aca="false">FCF_Baseline*(1+Growth_Base)^3</f>
        <v>4882.62209375</v>
      </c>
      <c r="F15" s="23" t="n">
        <f aca="false">FCF_Baseline*(1+Growth_Base)^4</f>
        <v>5004.68764609375</v>
      </c>
      <c r="G15" s="23" t="n">
        <f aca="false">FCF_Baseline*(1+Growth_Base)^5</f>
        <v>5129.80483724609</v>
      </c>
      <c r="H15" s="23" t="n">
        <f aca="false">FCF_Baseline*(1+Growth_Base)^6</f>
        <v>5258.04995817724</v>
      </c>
      <c r="I15" s="23" t="n">
        <f aca="false">FCF_Baseline*(1+Growth_Base)^7</f>
        <v>5389.50120713167</v>
      </c>
      <c r="J15" s="23" t="n">
        <f aca="false">FCF_Baseline*(1+Growth_Base)^8</f>
        <v>5524.23873730997</v>
      </c>
      <c r="K15" s="23" t="n">
        <f aca="false">FCF_Baseline*(1+Growth_Base)^9</f>
        <v>5662.34470574271</v>
      </c>
      <c r="L15" s="23" t="n">
        <f aca="false">FCF_Baseline*(1+Growth_Base)^10</f>
        <v>5803.90332338628</v>
      </c>
    </row>
    <row r="16" customFormat="false" ht="15" hidden="false" customHeight="false" outlineLevel="0" collapsed="false">
      <c r="B16" s="8" t="s">
        <v>86</v>
      </c>
      <c r="C16" s="23" t="n">
        <f aca="false">FCF_Baseline*(1+Growth_High)^1</f>
        <v>4715.36</v>
      </c>
      <c r="D16" s="23" t="n">
        <f aca="false">FCF_Baseline*(1+Growth_High)^2</f>
        <v>4903.9744</v>
      </c>
      <c r="E16" s="23" t="n">
        <f aca="false">FCF_Baseline*(1+Growth_High)^3</f>
        <v>5100.133376</v>
      </c>
      <c r="F16" s="23" t="n">
        <f aca="false">FCF_Baseline*(1+Growth_High)^4</f>
        <v>5304.13871104</v>
      </c>
      <c r="G16" s="23" t="n">
        <f aca="false">FCF_Baseline*(1+Growth_High)^5</f>
        <v>5516.3042594816</v>
      </c>
      <c r="H16" s="23" t="n">
        <f aca="false">FCF_Baseline*(1+Growth_High)^6</f>
        <v>5736.95642986087</v>
      </c>
      <c r="I16" s="23" t="n">
        <f aca="false">FCF_Baseline*(1+Growth_High)^7</f>
        <v>5966.4346870553</v>
      </c>
      <c r="J16" s="23" t="n">
        <f aca="false">FCF_Baseline*(1+Growth_High)^8</f>
        <v>6205.09207453751</v>
      </c>
      <c r="K16" s="23" t="n">
        <f aca="false">FCF_Baseline*(1+Growth_High)^9</f>
        <v>6453.29575751901</v>
      </c>
      <c r="L16" s="23" t="n">
        <f aca="false">FCF_Baseline*(1+Growth_High)^10</f>
        <v>6711.42758781977</v>
      </c>
    </row>
    <row r="18" customFormat="false" ht="15" hidden="false" customHeight="false" outlineLevel="0" collapsed="false">
      <c r="B18" s="9" t="s">
        <v>87</v>
      </c>
      <c r="C18" s="24" t="n">
        <f aca="false">C15</f>
        <v>4647.35</v>
      </c>
      <c r="D18" s="24" t="n">
        <f aca="false">C18+D15</f>
        <v>9410.88375</v>
      </c>
      <c r="E18" s="24" t="n">
        <f aca="false">D18+E15</f>
        <v>14293.50584375</v>
      </c>
      <c r="F18" s="24" t="n">
        <f aca="false">E18+F15</f>
        <v>19298.1934898437</v>
      </c>
      <c r="G18" s="24" t="n">
        <f aca="false">F18+G15</f>
        <v>24427.9983270898</v>
      </c>
      <c r="H18" s="24" t="n">
        <f aca="false">G18+H15</f>
        <v>29686.0482852671</v>
      </c>
      <c r="I18" s="24" t="n">
        <f aca="false">H18+I15</f>
        <v>35075.5494923988</v>
      </c>
      <c r="J18" s="24" t="n">
        <f aca="false">I18+J15</f>
        <v>40599.7882297087</v>
      </c>
      <c r="K18" s="24" t="n">
        <f aca="false">J18+K15</f>
        <v>46262.1329354514</v>
      </c>
      <c r="L18" s="24" t="n">
        <f aca="false">K18+L15</f>
        <v>52066.0362588377</v>
      </c>
    </row>
  </sheetData>
  <mergeCells count="2">
    <mergeCell ref="B2:O2"/>
    <mergeCell ref="B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5" min="3" style="0" width="13"/>
  </cols>
  <sheetData>
    <row r="2" customFormat="false" ht="30" hidden="false" customHeight="true" outlineLevel="0" collapsed="false">
      <c r="B2" s="12" t="s">
        <v>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customFormat="false" ht="30" hidden="false" customHeight="true" outlineLevel="0" collapsed="false">
      <c r="B4" s="19" t="s">
        <v>89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customFormat="false" ht="15" hidden="false" customHeight="false" outlineLevel="0" collapsed="false">
      <c r="B6" s="15" t="s">
        <v>90</v>
      </c>
      <c r="C6" s="22" t="s">
        <v>91</v>
      </c>
      <c r="D6" s="22" t="s">
        <v>92</v>
      </c>
      <c r="E6" s="22" t="s">
        <v>93</v>
      </c>
      <c r="F6" s="22" t="s">
        <v>94</v>
      </c>
      <c r="G6" s="22" t="s">
        <v>95</v>
      </c>
      <c r="H6" s="22" t="s">
        <v>96</v>
      </c>
      <c r="I6" s="22" t="s">
        <v>97</v>
      </c>
      <c r="J6" s="22" t="s">
        <v>98</v>
      </c>
      <c r="K6" s="22" t="s">
        <v>99</v>
      </c>
      <c r="L6" s="22" t="s">
        <v>100</v>
      </c>
      <c r="M6" s="22" t="s">
        <v>101</v>
      </c>
    </row>
    <row r="7" customFormat="false" ht="15" hidden="false" customHeight="false" outlineLevel="0" collapsed="false">
      <c r="B7" s="9" t="s">
        <v>102</v>
      </c>
      <c r="C7" s="16" t="n">
        <v>-2000</v>
      </c>
      <c r="D7" s="16" t="n">
        <v>200</v>
      </c>
      <c r="E7" s="16" t="n">
        <v>350</v>
      </c>
      <c r="F7" s="16" t="n">
        <v>450</v>
      </c>
      <c r="G7" s="16" t="n">
        <v>465.75</v>
      </c>
      <c r="H7" s="16" t="n">
        <v>482.05125</v>
      </c>
      <c r="I7" s="16" t="n">
        <v>498.92304375</v>
      </c>
      <c r="J7" s="16" t="n">
        <v>516.38535028125</v>
      </c>
      <c r="K7" s="16" t="n">
        <v>534.458837541094</v>
      </c>
      <c r="L7" s="16" t="n">
        <v>553.164896855032</v>
      </c>
      <c r="M7" s="16" t="n">
        <v>572.525668244958</v>
      </c>
    </row>
    <row r="8" customFormat="false" ht="15" hidden="false" customHeight="false" outlineLevel="0" collapsed="false">
      <c r="B8" s="9" t="s">
        <v>103</v>
      </c>
      <c r="C8" s="16" t="n">
        <v>-400</v>
      </c>
      <c r="D8" s="16" t="n">
        <v>180</v>
      </c>
      <c r="E8" s="16" t="n">
        <v>180</v>
      </c>
      <c r="F8" s="16" t="n">
        <v>180</v>
      </c>
      <c r="G8" s="16" t="n">
        <v>176.4</v>
      </c>
      <c r="H8" s="16" t="n">
        <v>172.872</v>
      </c>
      <c r="I8" s="16" t="n">
        <v>169.41456</v>
      </c>
      <c r="J8" s="16" t="n">
        <v>166.0262688</v>
      </c>
      <c r="K8" s="16" t="n">
        <v>162.705743424</v>
      </c>
      <c r="L8" s="16" t="n">
        <v>159.45162855552</v>
      </c>
      <c r="M8" s="16" t="n">
        <v>156.26259598441</v>
      </c>
    </row>
    <row r="10" customFormat="false" ht="15" hidden="false" customHeight="false" outlineLevel="0" collapsed="false">
      <c r="B10" s="9" t="s">
        <v>104</v>
      </c>
      <c r="C10" s="25" t="n">
        <f aca="false">SUM(C7:M7)</f>
        <v>2623.25904667233</v>
      </c>
      <c r="D10" s="25" t="n">
        <f aca="false">SUM(C8:M8)</f>
        <v>1303.13279676393</v>
      </c>
    </row>
    <row r="11" customFormat="false" ht="15" hidden="false" customHeight="false" outlineLevel="0" collapsed="false">
      <c r="B11" s="8"/>
    </row>
    <row r="12" customFormat="false" ht="15" hidden="false" customHeight="false" outlineLevel="0" collapsed="false">
      <c r="B12" s="8" t="s">
        <v>105</v>
      </c>
      <c r="C12" s="24" t="n">
        <f aca="false">ABS(C7)</f>
        <v>2000</v>
      </c>
      <c r="D12" s="24" t="n">
        <f aca="false">ABS(C8)</f>
        <v>400</v>
      </c>
    </row>
  </sheetData>
  <mergeCells count="2">
    <mergeCell ref="B2:M2"/>
    <mergeCell ref="B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2" customFormat="false" ht="30" hidden="false" customHeight="true" outlineLevel="0" collapsed="false">
      <c r="B2" s="12" t="s">
        <v>106</v>
      </c>
      <c r="C2" s="12"/>
      <c r="D2" s="12"/>
      <c r="E2" s="12"/>
    </row>
    <row r="4" customFormat="false" ht="15" hidden="false" customHeight="false" outlineLevel="0" collapsed="false">
      <c r="B4" s="26" t="s">
        <v>107</v>
      </c>
      <c r="C4" s="26"/>
      <c r="D4" s="26"/>
      <c r="E4" s="26"/>
    </row>
    <row r="5" customFormat="false" ht="15" hidden="false" customHeight="false" outlineLevel="0" collapsed="false">
      <c r="B5" s="27" t="s">
        <v>108</v>
      </c>
      <c r="C5" s="27" t="s">
        <v>109</v>
      </c>
      <c r="D5" s="27" t="s">
        <v>110</v>
      </c>
      <c r="E5" s="27" t="s">
        <v>111</v>
      </c>
    </row>
    <row r="6" customFormat="false" ht="15" hidden="false" customHeight="false" outlineLevel="0" collapsed="false">
      <c r="B6" s="8" t="s">
        <v>112</v>
      </c>
      <c r="C6" s="28" t="n">
        <v>0.03</v>
      </c>
      <c r="D6" s="29" t="s">
        <v>113</v>
      </c>
      <c r="E6" s="29" t="s">
        <v>114</v>
      </c>
    </row>
    <row r="7" customFormat="false" ht="15" hidden="false" customHeight="false" outlineLevel="0" collapsed="false">
      <c r="B7" s="8" t="s">
        <v>115</v>
      </c>
      <c r="C7" s="28" t="n">
        <v>0.045</v>
      </c>
      <c r="D7" s="29" t="s">
        <v>113</v>
      </c>
      <c r="E7" s="29" t="s">
        <v>116</v>
      </c>
    </row>
    <row r="8" customFormat="false" ht="15" hidden="false" customHeight="false" outlineLevel="0" collapsed="false">
      <c r="B8" s="8" t="s">
        <v>117</v>
      </c>
      <c r="C8" s="30" t="n">
        <v>1</v>
      </c>
      <c r="D8" s="29"/>
      <c r="E8" s="29" t="s">
        <v>118</v>
      </c>
    </row>
    <row r="9" customFormat="false" ht="15" hidden="false" customHeight="false" outlineLevel="0" collapsed="false">
      <c r="B9" s="8" t="s">
        <v>119</v>
      </c>
      <c r="C9" s="31" t="n">
        <v>10</v>
      </c>
      <c r="D9" s="29" t="s">
        <v>120</v>
      </c>
      <c r="E9" s="29" t="s">
        <v>121</v>
      </c>
    </row>
    <row r="12" customFormat="false" ht="15" hidden="false" customHeight="false" outlineLevel="0" collapsed="false">
      <c r="B12" s="26" t="s">
        <v>122</v>
      </c>
      <c r="C12" s="26"/>
      <c r="D12" s="26"/>
      <c r="E12" s="26"/>
    </row>
    <row r="13" customFormat="false" ht="15" hidden="false" customHeight="false" outlineLevel="0" collapsed="false">
      <c r="B13" s="32" t="s">
        <v>123</v>
      </c>
      <c r="C13" s="32" t="s">
        <v>109</v>
      </c>
      <c r="D13" s="32" t="s">
        <v>110</v>
      </c>
      <c r="E13" s="32" t="s">
        <v>124</v>
      </c>
    </row>
    <row r="14" customFormat="false" ht="15" hidden="false" customHeight="false" outlineLevel="0" collapsed="false">
      <c r="B14" s="8" t="s">
        <v>125</v>
      </c>
      <c r="C14" s="33" t="n">
        <v>2768</v>
      </c>
      <c r="D14" s="29" t="s">
        <v>126</v>
      </c>
      <c r="E14" s="29" t="s">
        <v>127</v>
      </c>
    </row>
    <row r="15" customFormat="false" ht="15" hidden="false" customHeight="false" outlineLevel="0" collapsed="false">
      <c r="B15" s="8" t="s">
        <v>128</v>
      </c>
      <c r="C15" s="17" t="n">
        <v>0.0735790262008063</v>
      </c>
      <c r="D15" s="29" t="s">
        <v>113</v>
      </c>
      <c r="E15" s="29" t="s">
        <v>129</v>
      </c>
    </row>
    <row r="16" customFormat="false" ht="15" hidden="false" customHeight="false" outlineLevel="0" collapsed="false">
      <c r="B16" s="8" t="s">
        <v>130</v>
      </c>
      <c r="C16" s="17" t="n">
        <v>0.471773077046818</v>
      </c>
      <c r="D16" s="29" t="s">
        <v>113</v>
      </c>
      <c r="E16" s="29" t="s">
        <v>131</v>
      </c>
    </row>
    <row r="17" customFormat="false" ht="15" hidden="false" customHeight="false" outlineLevel="0" collapsed="false">
      <c r="B17" s="8" t="s">
        <v>132</v>
      </c>
      <c r="C17" s="34" t="n">
        <v>2225.69836226223</v>
      </c>
      <c r="D17" s="29" t="s">
        <v>133</v>
      </c>
      <c r="E17" s="29" t="s">
        <v>134</v>
      </c>
    </row>
    <row r="18" customFormat="false" ht="15" hidden="false" customHeight="false" outlineLevel="0" collapsed="false">
      <c r="B18" s="8" t="s">
        <v>135</v>
      </c>
      <c r="C18" s="34" t="n">
        <v>2.11599701284259</v>
      </c>
      <c r="D18" s="29"/>
      <c r="E18" s="29" t="s">
        <v>136</v>
      </c>
    </row>
    <row r="19" customFormat="false" ht="15" hidden="false" customHeight="false" outlineLevel="0" collapsed="false">
      <c r="B19" s="8" t="s">
        <v>137</v>
      </c>
      <c r="C19" s="34" t="n">
        <v>17.7747367602534</v>
      </c>
      <c r="D19" s="29"/>
      <c r="E19" s="29" t="s">
        <v>138</v>
      </c>
    </row>
  </sheetData>
  <mergeCells count="3">
    <mergeCell ref="B2:E2"/>
    <mergeCell ref="B4:E4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22"/>
  </cols>
  <sheetData>
    <row r="2" customFormat="false" ht="30" hidden="false" customHeight="true" outlineLevel="0" collapsed="false">
      <c r="B2" s="12" t="s">
        <v>139</v>
      </c>
      <c r="C2" s="12"/>
      <c r="D2" s="12"/>
      <c r="E2" s="12"/>
    </row>
    <row r="4" customFormat="false" ht="30" hidden="false" customHeight="true" outlineLevel="0" collapsed="false">
      <c r="B4" s="19" t="s">
        <v>140</v>
      </c>
      <c r="C4" s="19"/>
      <c r="D4" s="19"/>
      <c r="E4" s="19"/>
    </row>
    <row r="6" customFormat="false" ht="15" hidden="false" customHeight="false" outlineLevel="0" collapsed="false">
      <c r="B6" s="14" t="s">
        <v>108</v>
      </c>
      <c r="C6" s="14" t="s">
        <v>141</v>
      </c>
      <c r="D6" s="14" t="s">
        <v>142</v>
      </c>
      <c r="E6" s="14" t="s">
        <v>143</v>
      </c>
    </row>
    <row r="7" customFormat="false" ht="15" hidden="false" customHeight="false" outlineLevel="0" collapsed="false">
      <c r="B7" s="8" t="s">
        <v>144</v>
      </c>
      <c r="C7" s="35" t="n">
        <v>0.7</v>
      </c>
      <c r="D7" s="35" t="n">
        <v>1</v>
      </c>
      <c r="E7" s="35" t="n">
        <v>2</v>
      </c>
    </row>
    <row r="8" customFormat="false" ht="15" hidden="false" customHeight="false" outlineLevel="0" collapsed="false">
      <c r="B8" s="8" t="s">
        <v>145</v>
      </c>
      <c r="C8" s="36" t="n">
        <f aca="false">ERP*C7</f>
        <v>0.0315</v>
      </c>
      <c r="D8" s="36" t="n">
        <f aca="false">ERP*D7</f>
        <v>0.045</v>
      </c>
      <c r="E8" s="36" t="n">
        <f aca="false">ERP*E7</f>
        <v>0.09</v>
      </c>
    </row>
    <row r="9" customFormat="false" ht="15" hidden="false" customHeight="false" outlineLevel="0" collapsed="false">
      <c r="B9" s="9" t="s">
        <v>146</v>
      </c>
      <c r="C9" s="37" t="n">
        <f aca="false">RF_Rate+Beta*C8</f>
        <v>0.0615</v>
      </c>
      <c r="D9" s="37" t="n">
        <f aca="false">RF_Rate+Beta*D8</f>
        <v>0.075</v>
      </c>
      <c r="E9" s="37" t="n">
        <f aca="false">RF_Rate+Beta*E8</f>
        <v>0.12</v>
      </c>
    </row>
    <row r="11" customFormat="false" ht="15" hidden="false" customHeight="false" outlineLevel="0" collapsed="false">
      <c r="B11" s="9" t="s">
        <v>147</v>
      </c>
      <c r="C11" s="38" t="n">
        <v>2</v>
      </c>
      <c r="D11" s="29" t="s">
        <v>148</v>
      </c>
    </row>
    <row r="12" customFormat="false" ht="15" hidden="false" customHeight="false" outlineLevel="0" collapsed="false">
      <c r="B12" s="9" t="s">
        <v>149</v>
      </c>
      <c r="C12" s="37" t="n">
        <f aca="false">INDEX(C9:E9, $C$11)</f>
        <v>0.075</v>
      </c>
    </row>
    <row r="14" customFormat="false" ht="15" hidden="false" customHeight="false" outlineLevel="0" collapsed="false">
      <c r="B14" s="9" t="s">
        <v>150</v>
      </c>
      <c r="C14" s="29" t="s">
        <v>151</v>
      </c>
      <c r="D14" s="29" t="s">
        <v>152</v>
      </c>
      <c r="E14" s="29" t="s">
        <v>153</v>
      </c>
    </row>
    <row r="15" customFormat="false" ht="15" hidden="false" customHeight="false" outlineLevel="0" collapsed="false">
      <c r="C15" s="29" t="s">
        <v>154</v>
      </c>
      <c r="D15" s="29" t="s">
        <v>155</v>
      </c>
      <c r="E15" s="29" t="s">
        <v>156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5" min="3" style="0" width="13"/>
  </cols>
  <sheetData>
    <row r="2" customFormat="false" ht="30" hidden="false" customHeight="true" outlineLevel="0" collapsed="false">
      <c r="B2" s="12" t="s">
        <v>157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customFormat="false" ht="15" hidden="false" customHeight="false" outlineLevel="0" collapsed="false">
      <c r="B4" s="9" t="s">
        <v>90</v>
      </c>
      <c r="C4" s="22" t="s">
        <v>91</v>
      </c>
      <c r="D4" s="22" t="s">
        <v>92</v>
      </c>
      <c r="E4" s="22" t="s">
        <v>93</v>
      </c>
      <c r="F4" s="22" t="s">
        <v>94</v>
      </c>
      <c r="G4" s="22" t="s">
        <v>95</v>
      </c>
      <c r="H4" s="22" t="s">
        <v>96</v>
      </c>
      <c r="I4" s="22" t="s">
        <v>97</v>
      </c>
      <c r="J4" s="22" t="s">
        <v>98</v>
      </c>
      <c r="K4" s="22" t="s">
        <v>99</v>
      </c>
      <c r="L4" s="22" t="s">
        <v>100</v>
      </c>
      <c r="M4" s="22" t="s">
        <v>101</v>
      </c>
    </row>
    <row r="5" customFormat="false" ht="15" hidden="false" customHeight="false" outlineLevel="0" collapsed="false">
      <c r="B5" s="8" t="s">
        <v>158</v>
      </c>
      <c r="C5" s="39" t="n">
        <f aca="false">Project_CF!C7</f>
        <v>-2000</v>
      </c>
      <c r="D5" s="39" t="n">
        <f aca="false">Project_CF!D7</f>
        <v>200</v>
      </c>
      <c r="E5" s="39" t="n">
        <f aca="false">Project_CF!E7</f>
        <v>350</v>
      </c>
      <c r="F5" s="39" t="n">
        <f aca="false">Project_CF!F7</f>
        <v>450</v>
      </c>
      <c r="G5" s="39" t="n">
        <f aca="false">Project_CF!G7</f>
        <v>465.75</v>
      </c>
      <c r="H5" s="39" t="n">
        <f aca="false">Project_CF!H7</f>
        <v>482.05125</v>
      </c>
      <c r="I5" s="39" t="n">
        <f aca="false">Project_CF!I7</f>
        <v>498.92304375</v>
      </c>
      <c r="J5" s="39" t="n">
        <f aca="false">Project_CF!J7</f>
        <v>516.38535028125</v>
      </c>
      <c r="K5" s="39" t="n">
        <f aca="false">Project_CF!K7</f>
        <v>534.458837541094</v>
      </c>
      <c r="L5" s="39" t="n">
        <f aca="false">Project_CF!L7</f>
        <v>553.164896855032</v>
      </c>
      <c r="M5" s="39" t="n">
        <f aca="false">Project_CF!M7</f>
        <v>572.525668244958</v>
      </c>
    </row>
    <row r="6" customFormat="false" ht="15" hidden="false" customHeight="false" outlineLevel="0" collapsed="false">
      <c r="B6" s="8" t="s">
        <v>159</v>
      </c>
      <c r="C6" s="40" t="n">
        <f aca="false">1/(1+WACC_Active)^0</f>
        <v>1</v>
      </c>
      <c r="D6" s="40" t="n">
        <f aca="false">1/(1+WACC_Active)^1</f>
        <v>0.930232558139535</v>
      </c>
      <c r="E6" s="40" t="n">
        <f aca="false">1/(1+WACC_Active)^2</f>
        <v>0.865332612222823</v>
      </c>
      <c r="F6" s="40" t="n">
        <f aca="false">1/(1+WACC_Active)^3</f>
        <v>0.804960569509603</v>
      </c>
      <c r="G6" s="40" t="n">
        <f aca="false">1/(1+WACC_Active)^4</f>
        <v>0.748800529776375</v>
      </c>
      <c r="H6" s="40" t="n">
        <f aca="false">1/(1+WACC_Active)^5</f>
        <v>0.696558632350116</v>
      </c>
      <c r="I6" s="40" t="n">
        <f aca="false">1/(1+WACC_Active)^6</f>
        <v>0.647961518465224</v>
      </c>
      <c r="J6" s="40" t="n">
        <f aca="false">1/(1+WACC_Active)^7</f>
        <v>0.602754900897883</v>
      </c>
      <c r="K6" s="40" t="n">
        <f aca="false">1/(1+WACC_Active)^8</f>
        <v>0.56070223339338</v>
      </c>
      <c r="L6" s="40" t="n">
        <f aca="false">1/(1+WACC_Active)^9</f>
        <v>0.521583472924074</v>
      </c>
      <c r="M6" s="40" t="n">
        <f aca="false">1/(1+WACC_Active)^10</f>
        <v>0.485193928301464</v>
      </c>
    </row>
    <row r="7" customFormat="false" ht="15" hidden="false" customHeight="false" outlineLevel="0" collapsed="false">
      <c r="B7" s="8" t="s">
        <v>160</v>
      </c>
      <c r="C7" s="25" t="n">
        <f aca="false">C5*C6</f>
        <v>-2000</v>
      </c>
      <c r="D7" s="25" t="n">
        <f aca="false">D5*D6</f>
        <v>186.046511627907</v>
      </c>
      <c r="E7" s="25" t="n">
        <f aca="false">E5*E6</f>
        <v>302.866414277988</v>
      </c>
      <c r="F7" s="25" t="n">
        <f aca="false">F5*F6</f>
        <v>362.232256279321</v>
      </c>
      <c r="G7" s="25" t="n">
        <f aca="false">G5*G6</f>
        <v>348.753846743347</v>
      </c>
      <c r="H7" s="25" t="n">
        <f aca="false">H5*H6</f>
        <v>335.776959422664</v>
      </c>
      <c r="I7" s="25" t="n">
        <f aca="false">I5*I6</f>
        <v>323.282933025542</v>
      </c>
      <c r="J7" s="25" t="n">
        <f aca="false">J5*J6</f>
        <v>311.253800633894</v>
      </c>
      <c r="K7" s="25" t="n">
        <f aca="false">K5*K6</f>
        <v>299.672263866121</v>
      </c>
      <c r="L7" s="25" t="n">
        <f aca="false">L5*L6</f>
        <v>288.521668001335</v>
      </c>
      <c r="M7" s="25" t="n">
        <f aca="false">M5*M6</f>
        <v>277.785978029192</v>
      </c>
    </row>
    <row r="9" customFormat="false" ht="15" hidden="false" customHeight="false" outlineLevel="0" collapsed="false">
      <c r="B9" s="8" t="s">
        <v>161</v>
      </c>
      <c r="C9" s="39" t="n">
        <f aca="false">Project_CF!C8</f>
        <v>-400</v>
      </c>
      <c r="D9" s="39" t="n">
        <f aca="false">Project_CF!D8</f>
        <v>180</v>
      </c>
      <c r="E9" s="39" t="n">
        <f aca="false">Project_CF!E8</f>
        <v>180</v>
      </c>
      <c r="F9" s="39" t="n">
        <f aca="false">Project_CF!F8</f>
        <v>180</v>
      </c>
      <c r="G9" s="39" t="n">
        <f aca="false">Project_CF!G8</f>
        <v>176.4</v>
      </c>
      <c r="H9" s="39" t="n">
        <f aca="false">Project_CF!H8</f>
        <v>172.872</v>
      </c>
      <c r="I9" s="39" t="n">
        <f aca="false">Project_CF!I8</f>
        <v>169.41456</v>
      </c>
      <c r="J9" s="39" t="n">
        <f aca="false">Project_CF!J8</f>
        <v>166.0262688</v>
      </c>
      <c r="K9" s="39" t="n">
        <f aca="false">Project_CF!K8</f>
        <v>162.705743424</v>
      </c>
      <c r="L9" s="39" t="n">
        <f aca="false">Project_CF!L8</f>
        <v>159.45162855552</v>
      </c>
      <c r="M9" s="39" t="n">
        <f aca="false">Project_CF!M8</f>
        <v>156.26259598441</v>
      </c>
    </row>
    <row r="10" customFormat="false" ht="15" hidden="false" customHeight="false" outlineLevel="0" collapsed="false">
      <c r="B10" s="8" t="s">
        <v>160</v>
      </c>
      <c r="C10" s="25" t="n">
        <f aca="false">C9*C6</f>
        <v>-400</v>
      </c>
      <c r="D10" s="25" t="n">
        <f aca="false">D9*D6</f>
        <v>167.441860465116</v>
      </c>
      <c r="E10" s="25" t="n">
        <f aca="false">E9*E6</f>
        <v>155.759870200108</v>
      </c>
      <c r="F10" s="25" t="n">
        <f aca="false">F9*F6</f>
        <v>144.892902511729</v>
      </c>
      <c r="G10" s="25" t="n">
        <f aca="false">G9*G6</f>
        <v>132.088413452553</v>
      </c>
      <c r="H10" s="25" t="n">
        <f aca="false">H9*H6</f>
        <v>120.415483891629</v>
      </c>
      <c r="I10" s="25" t="n">
        <f aca="false">I9*I6</f>
        <v>109.774115547718</v>
      </c>
      <c r="J10" s="25" t="n">
        <f aca="false">J9*J6</f>
        <v>100.073147196989</v>
      </c>
      <c r="K10" s="25" t="n">
        <f aca="false">K9*K6</f>
        <v>91.229473723767</v>
      </c>
      <c r="L10" s="25" t="n">
        <f aca="false">L9*L6</f>
        <v>83.1673341853876</v>
      </c>
      <c r="M10" s="25" t="n">
        <f aca="false">M9*M6</f>
        <v>75.8176627922603</v>
      </c>
    </row>
    <row r="13" customFormat="false" ht="15" hidden="false" customHeight="false" outlineLevel="0" collapsed="false">
      <c r="B13" s="41" t="s">
        <v>162</v>
      </c>
    </row>
    <row r="14" customFormat="false" ht="15" hidden="false" customHeight="false" outlineLevel="0" collapsed="false">
      <c r="B14" s="8"/>
      <c r="C14" s="42" t="s">
        <v>163</v>
      </c>
      <c r="D14" s="42" t="s">
        <v>164</v>
      </c>
    </row>
    <row r="15" customFormat="false" ht="15" hidden="false" customHeight="false" outlineLevel="0" collapsed="false">
      <c r="B15" s="9" t="s">
        <v>165</v>
      </c>
      <c r="C15" s="43" t="n">
        <f aca="false">SUM(C7:M7)</f>
        <v>1036.19263190731</v>
      </c>
      <c r="D15" s="43" t="n">
        <f aca="false">SUM(C10:M10)</f>
        <v>780.660263967257</v>
      </c>
    </row>
    <row r="16" customFormat="false" ht="15" hidden="false" customHeight="false" outlineLevel="0" collapsed="false">
      <c r="B16" s="9" t="s">
        <v>166</v>
      </c>
      <c r="C16" s="37" t="n">
        <f aca="false">IRR(C5:M5)</f>
        <v>0.163852904962278</v>
      </c>
      <c r="D16" s="37" t="n">
        <f aca="false">IRR(C9:M9)</f>
        <v>0.429987253670584</v>
      </c>
    </row>
    <row r="17" customFormat="false" ht="15" hidden="false" customHeight="false" outlineLevel="0" collapsed="false">
      <c r="B17" s="9" t="s">
        <v>167</v>
      </c>
      <c r="C17" s="44" t="n">
        <f aca="false">C15/ABS(C5)</f>
        <v>0.518096315953655</v>
      </c>
      <c r="D17" s="44" t="n">
        <f aca="false">D15/ABS(C9)</f>
        <v>1.95165065991814</v>
      </c>
    </row>
    <row r="18" customFormat="false" ht="15" hidden="false" customHeight="false" outlineLevel="0" collapsed="false">
      <c r="B18" s="9" t="s">
        <v>168</v>
      </c>
      <c r="C18" s="45" t="n">
        <f aca="false">IFERROR(ABS(C5)/AVERAGE(D5:M5), "-")</f>
        <v>4.32595270957082</v>
      </c>
      <c r="D18" s="45" t="n">
        <f aca="false">IFERROR(ABS(C9)/AVERAGE(D9:M9), "-")</f>
        <v>2.34861310145649</v>
      </c>
    </row>
    <row r="19" customFormat="false" ht="15" hidden="false" customHeight="false" outlineLevel="0" collapsed="false">
      <c r="B19" s="8"/>
    </row>
    <row r="20" customFormat="false" ht="15" hidden="false" customHeight="false" outlineLevel="0" collapsed="false">
      <c r="B20" s="8" t="s">
        <v>149</v>
      </c>
      <c r="C20" s="46" t="n">
        <f aca="false">WACC_Active</f>
        <v>0.075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15" min="3" style="0" width="13"/>
  </cols>
  <sheetData>
    <row r="2" customFormat="false" ht="30" hidden="false" customHeight="true" outlineLevel="0" collapsed="false">
      <c r="B2" s="12" t="s">
        <v>169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customFormat="false" ht="30" hidden="false" customHeight="true" outlineLevel="0" collapsed="false">
      <c r="B4" s="19" t="s">
        <v>170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6" customFormat="false" ht="15" hidden="false" customHeight="false" outlineLevel="0" collapsed="false">
      <c r="B6" s="47" t="s">
        <v>171</v>
      </c>
      <c r="C6" s="48" t="n">
        <v>0.05</v>
      </c>
      <c r="D6" s="48" t="n">
        <v>0.06</v>
      </c>
      <c r="E6" s="48" t="n">
        <v>0.07</v>
      </c>
      <c r="F6" s="48" t="n">
        <v>0.08</v>
      </c>
      <c r="G6" s="48" t="n">
        <v>0.09</v>
      </c>
      <c r="H6" s="48" t="n">
        <v>0.1</v>
      </c>
      <c r="I6" s="48" t="n">
        <v>0.11</v>
      </c>
      <c r="J6" s="48" t="n">
        <v>0.12</v>
      </c>
      <c r="K6" s="48" t="n">
        <v>0.13</v>
      </c>
      <c r="L6" s="48" t="n">
        <v>0.14</v>
      </c>
      <c r="M6" s="48" t="n">
        <v>0.15</v>
      </c>
    </row>
    <row r="7" customFormat="false" ht="15" hidden="false" customHeight="false" outlineLevel="0" collapsed="false">
      <c r="B7" s="49" t="s">
        <v>172</v>
      </c>
    </row>
    <row r="8" customFormat="false" ht="15" hidden="false" customHeight="false" outlineLevel="0" collapsed="false">
      <c r="B8" s="50" t="n">
        <v>-2</v>
      </c>
      <c r="C8" s="51" t="n">
        <f aca="false">Project_CF!C7/(1+C$6)^0+Project_CF!D7*(1+$B8*0.05)/(1+C$6)^1+Project_CF!E7*(1+$B8*0.05)/(1+C$6)^2+Project_CF!F7*(1+$B8*0.05)/(1+C$6)^3+Project_CF!G7*(1+$B8*0.05)/(1+C$6)^4+Project_CF!H7*(1+$B8*0.05)/(1+C$6)^5+Project_CF!I7*(1+$B8*0.05)/(1+C$6)^6+Project_CF!J7*(1+$B8*0.05)/(1+C$6)^7+Project_CF!K7*(1+$B8*0.05)/(1+C$6)^8+Project_CF!L7*(1+$B8*0.05)/(1+C$6)^9+Project_CF!M7*(1+$B8*0.05)/(1+C$6)^10</f>
        <v>1119.96273081012</v>
      </c>
      <c r="D8" s="51" t="n">
        <f aca="false">Project_CF!C7/(1+D$6)^0+Project_CF!D7*(1+$B8*0.05)/(1+D$6)^1+Project_CF!E7*(1+$B8*0.05)/(1+D$6)^2+Project_CF!F7*(1+$B8*0.05)/(1+D$6)^3+Project_CF!G7*(1+$B8*0.05)/(1+D$6)^4+Project_CF!H7*(1+$B8*0.05)/(1+D$6)^5+Project_CF!I7*(1+$B8*0.05)/(1+D$6)^6+Project_CF!J7*(1+$B8*0.05)/(1+D$6)^7+Project_CF!K7*(1+$B8*0.05)/(1+D$6)^8+Project_CF!L7*(1+$B8*0.05)/(1+D$6)^9+Project_CF!M7*(1+$B8*0.05)/(1+D$6)^10</f>
        <v>956.254054943027</v>
      </c>
      <c r="E8" s="51" t="n">
        <f aca="false">Project_CF!C7/(1+E$6)^0+Project_CF!D7*(1+$B8*0.05)/(1+E$6)^1+Project_CF!E7*(1+$B8*0.05)/(1+E$6)^2+Project_CF!F7*(1+$B8*0.05)/(1+E$6)^3+Project_CF!G7*(1+$B8*0.05)/(1+E$6)^4+Project_CF!H7*(1+$B8*0.05)/(1+E$6)^5+Project_CF!I7*(1+$B8*0.05)/(1+E$6)^6+Project_CF!J7*(1+$B8*0.05)/(1+E$6)^7+Project_CF!K7*(1+$B8*0.05)/(1+E$6)^8+Project_CF!L7*(1+$B8*0.05)/(1+E$6)^9+Project_CF!M7*(1+$B8*0.05)/(1+E$6)^10</f>
        <v>804.3893131797</v>
      </c>
      <c r="F8" s="51" t="n">
        <f aca="false">Project_CF!C7/(1+F$6)^0+Project_CF!D7*(1+$B8*0.05)/(1+F$6)^1+Project_CF!E7*(1+$B8*0.05)/(1+F$6)^2+Project_CF!F7*(1+$B8*0.05)/(1+F$6)^3+Project_CF!G7*(1+$B8*0.05)/(1+F$6)^4+Project_CF!H7*(1+$B8*0.05)/(1+F$6)^5+Project_CF!I7*(1+$B8*0.05)/(1+F$6)^6+Project_CF!J7*(1+$B8*0.05)/(1+F$6)^7+Project_CF!K7*(1+$B8*0.05)/(1+F$6)^8+Project_CF!L7*(1+$B8*0.05)/(1+F$6)^9+Project_CF!M7*(1+$B8*0.05)/(1+F$6)^10</f>
        <v>663.341439025158</v>
      </c>
      <c r="G8" s="51" t="n">
        <f aca="false">Project_CF!C7/(1+G$6)^0+Project_CF!D7*(1+$B8*0.05)/(1+G$6)^1+Project_CF!E7*(1+$B8*0.05)/(1+G$6)^2+Project_CF!F7*(1+$B8*0.05)/(1+G$6)^3+Project_CF!G7*(1+$B8*0.05)/(1+G$6)^4+Project_CF!H7*(1+$B8*0.05)/(1+G$6)^5+Project_CF!I7*(1+$B8*0.05)/(1+G$6)^6+Project_CF!J7*(1+$B8*0.05)/(1+G$6)^7+Project_CF!K7*(1+$B8*0.05)/(1+G$6)^8+Project_CF!L7*(1+$B8*0.05)/(1+G$6)^9+Project_CF!M7*(1+$B8*0.05)/(1+G$6)^10</f>
        <v>532.184599854262</v>
      </c>
      <c r="H8" s="51" t="n">
        <f aca="false">Project_CF!C7/(1+H$6)^0+Project_CF!D7*(1+$B8*0.05)/(1+H$6)^1+Project_CF!E7*(1+$B8*0.05)/(1+H$6)^2+Project_CF!F7*(1+$B8*0.05)/(1+H$6)^3+Project_CF!G7*(1+$B8*0.05)/(1+H$6)^4+Project_CF!H7*(1+$B8*0.05)/(1+H$6)^5+Project_CF!I7*(1+$B8*0.05)/(1+H$6)^6+Project_CF!J7*(1+$B8*0.05)/(1+H$6)^7+Project_CF!K7*(1+$B8*0.05)/(1+H$6)^8+Project_CF!L7*(1+$B8*0.05)/(1+H$6)^9+Project_CF!M7*(1+$B8*0.05)/(1+H$6)^10</f>
        <v>410.083162130052</v>
      </c>
      <c r="I8" s="51" t="n">
        <f aca="false">Project_CF!C7/(1+I$6)^0+Project_CF!D7*(1+$B8*0.05)/(1+I$6)^1+Project_CF!E7*(1+$B8*0.05)/(1+I$6)^2+Project_CF!F7*(1+$B8*0.05)/(1+I$6)^3+Project_CF!G7*(1+$B8*0.05)/(1+I$6)^4+Project_CF!H7*(1+$B8*0.05)/(1+I$6)^5+Project_CF!I7*(1+$B8*0.05)/(1+I$6)^6+Project_CF!J7*(1+$B8*0.05)/(1+I$6)^7+Project_CF!K7*(1+$B8*0.05)/(1+I$6)^8+Project_CF!L7*(1+$B8*0.05)/(1+I$6)^9+Project_CF!M7*(1+$B8*0.05)/(1+I$6)^10</f>
        <v>296.281964778226</v>
      </c>
      <c r="J8" s="51" t="n">
        <f aca="false">Project_CF!C7/(1+J$6)^0+Project_CF!D7*(1+$B8*0.05)/(1+J$6)^1+Project_CF!E7*(1+$B8*0.05)/(1+J$6)^2+Project_CF!F7*(1+$B8*0.05)/(1+J$6)^3+Project_CF!G7*(1+$B8*0.05)/(1+J$6)^4+Project_CF!H7*(1+$B8*0.05)/(1+J$6)^5+Project_CF!I7*(1+$B8*0.05)/(1+J$6)^6+Project_CF!J7*(1+$B8*0.05)/(1+J$6)^7+Project_CF!K7*(1+$B8*0.05)/(1+J$6)^8+Project_CF!L7*(1+$B8*0.05)/(1+J$6)^9+Project_CF!M7*(1+$B8*0.05)/(1+J$6)^10</f>
        <v>190.097733954084</v>
      </c>
      <c r="K8" s="51" t="n">
        <f aca="false">Project_CF!C7/(1+K$6)^0+Project_CF!D7*(1+$B8*0.05)/(1+K$6)^1+Project_CF!E7*(1+$B8*0.05)/(1+K$6)^2+Project_CF!F7*(1+$B8*0.05)/(1+K$6)^3+Project_CF!G7*(1+$B8*0.05)/(1+K$6)^4+Project_CF!H7*(1+$B8*0.05)/(1+K$6)^5+Project_CF!I7*(1+$B8*0.05)/(1+K$6)^6+Project_CF!J7*(1+$B8*0.05)/(1+K$6)^7+Project_CF!K7*(1+$B8*0.05)/(1+K$6)^8+Project_CF!L7*(1+$B8*0.05)/(1+K$6)^9+Project_CF!M7*(1+$B8*0.05)/(1+K$6)^10</f>
        <v>90.9114951111155</v>
      </c>
      <c r="L8" s="51" t="n">
        <f aca="false">Project_CF!C7/(1+L$6)^0+Project_CF!D7*(1+$B8*0.05)/(1+L$6)^1+Project_CF!E7*(1+$B8*0.05)/(1+L$6)^2+Project_CF!F7*(1+$B8*0.05)/(1+L$6)^3+Project_CF!G7*(1+$B8*0.05)/(1+L$6)^4+Project_CF!H7*(1+$B8*0.05)/(1+L$6)^5+Project_CF!I7*(1+$B8*0.05)/(1+L$6)^6+Project_CF!J7*(1+$B8*0.05)/(1+L$6)^7+Project_CF!K7*(1+$B8*0.05)/(1+L$6)^8+Project_CF!L7*(1+$B8*0.05)/(1+L$6)^9+Project_CF!M7*(1+$B8*0.05)/(1+L$6)^10</f>
        <v>-1.83814231350971</v>
      </c>
      <c r="M8" s="51" t="n">
        <f aca="false">Project_CF!C7/(1+M$6)^0+Project_CF!D7*(1+$B8*0.05)/(1+M$6)^1+Project_CF!E7*(1+$B8*0.05)/(1+M$6)^2+Project_CF!F7*(1+$B8*0.05)/(1+M$6)^3+Project_CF!G7*(1+$B8*0.05)/(1+M$6)^4+Project_CF!H7*(1+$B8*0.05)/(1+M$6)^5+Project_CF!I7*(1+$B8*0.05)/(1+M$6)^6+Project_CF!J7*(1+$B8*0.05)/(1+M$6)^7+Project_CF!K7*(1+$B8*0.05)/(1+M$6)^8+Project_CF!L7*(1+$B8*0.05)/(1+M$6)^9+Project_CF!M7*(1+$B8*0.05)/(1+M$6)^10</f>
        <v>-88.6609356455983</v>
      </c>
    </row>
    <row r="9" customFormat="false" ht="15" hidden="false" customHeight="false" outlineLevel="0" collapsed="false">
      <c r="B9" s="50" t="n">
        <v>-1.5</v>
      </c>
      <c r="C9" s="51" t="n">
        <f aca="false">Project_CF!C7/(1+C$6)^0+Project_CF!D7*(1+$B9*0.05)/(1+C$6)^1+Project_CF!E7*(1+$B9*0.05)/(1+C$6)^2+Project_CF!F7*(1+$B9*0.05)/(1+C$6)^3+Project_CF!G7*(1+$B9*0.05)/(1+C$6)^4+Project_CF!H7*(1+$B9*0.05)/(1+C$6)^5+Project_CF!I7*(1+$B9*0.05)/(1+C$6)^6+Project_CF!J7*(1+$B9*0.05)/(1+C$6)^7+Project_CF!K7*(1+$B9*0.05)/(1+C$6)^8+Project_CF!L7*(1+$B9*0.05)/(1+C$6)^9+Project_CF!M7*(1+$B9*0.05)/(1+C$6)^10</f>
        <v>1206.62836222151</v>
      </c>
      <c r="D9" s="51" t="n">
        <f aca="false">Project_CF!C7/(1+D$6)^0+Project_CF!D7*(1+$B9*0.05)/(1+D$6)^1+Project_CF!E7*(1+$B9*0.05)/(1+D$6)^2+Project_CF!F7*(1+$B9*0.05)/(1+D$6)^3+Project_CF!G7*(1+$B9*0.05)/(1+D$6)^4+Project_CF!H7*(1+$B9*0.05)/(1+D$6)^5+Project_CF!I7*(1+$B9*0.05)/(1+D$6)^6+Project_CF!J7*(1+$B9*0.05)/(1+D$6)^7+Project_CF!K7*(1+$B9*0.05)/(1+D$6)^8+Project_CF!L7*(1+$B9*0.05)/(1+D$6)^9+Project_CF!M7*(1+$B9*0.05)/(1+D$6)^10</f>
        <v>1038.37222313589</v>
      </c>
      <c r="E9" s="51" t="n">
        <f aca="false">Project_CF!C7/(1+E$6)^0+Project_CF!D7*(1+$B9*0.05)/(1+E$6)^1+Project_CF!E7*(1+$B9*0.05)/(1+E$6)^2+Project_CF!F7*(1+$B9*0.05)/(1+E$6)^3+Project_CF!G7*(1+$B9*0.05)/(1+E$6)^4+Project_CF!H7*(1+$B9*0.05)/(1+E$6)^5+Project_CF!I7*(1+$B9*0.05)/(1+E$6)^6+Project_CF!J7*(1+$B9*0.05)/(1+E$6)^7+Project_CF!K7*(1+$B9*0.05)/(1+E$6)^8+Project_CF!L7*(1+$B9*0.05)/(1+E$6)^9+Project_CF!M7*(1+$B9*0.05)/(1+E$6)^10</f>
        <v>882.28901632358</v>
      </c>
      <c r="F9" s="51" t="n">
        <f aca="false">Project_CF!C7/(1+F$6)^0+Project_CF!D7*(1+$B9*0.05)/(1+F$6)^1+Project_CF!E7*(1+$B9*0.05)/(1+F$6)^2+Project_CF!F7*(1+$B9*0.05)/(1+F$6)^3+Project_CF!G7*(1+$B9*0.05)/(1+F$6)^4+Project_CF!H7*(1+$B9*0.05)/(1+F$6)^5+Project_CF!I7*(1+$B9*0.05)/(1+F$6)^6+Project_CF!J7*(1+$B9*0.05)/(1+F$6)^7+Project_CF!K7*(1+$B9*0.05)/(1+F$6)^8+Project_CF!L7*(1+$B9*0.05)/(1+F$6)^9+Project_CF!M7*(1+$B9*0.05)/(1+F$6)^10</f>
        <v>737.323145664745</v>
      </c>
      <c r="G9" s="51" t="n">
        <f aca="false">Project_CF!C7/(1+G$6)^0+Project_CF!D7*(1+$B9*0.05)/(1+G$6)^1+Project_CF!E7*(1+$B9*0.05)/(1+G$6)^2+Project_CF!F7*(1+$B9*0.05)/(1+G$6)^3+Project_CF!G7*(1+$B9*0.05)/(1+G$6)^4+Project_CF!H7*(1+$B9*0.05)/(1+G$6)^5+Project_CF!I7*(1+$B9*0.05)/(1+G$6)^6+Project_CF!J7*(1+$B9*0.05)/(1+G$6)^7+Project_CF!K7*(1+$B9*0.05)/(1+G$6)^8+Project_CF!L7*(1+$B9*0.05)/(1+G$6)^9+Project_CF!M7*(1+$B9*0.05)/(1+G$6)^10</f>
        <v>602.523060961325</v>
      </c>
      <c r="H9" s="51" t="n">
        <f aca="false">Project_CF!C7/(1+H$6)^0+Project_CF!D7*(1+$B9*0.05)/(1+H$6)^1+Project_CF!E7*(1+$B9*0.05)/(1+H$6)^2+Project_CF!F7*(1+$B9*0.05)/(1+H$6)^3+Project_CF!G7*(1+$B9*0.05)/(1+H$6)^4+Project_CF!H7*(1+$B9*0.05)/(1+H$6)^5+Project_CF!I7*(1+$B9*0.05)/(1+H$6)^6+Project_CF!J7*(1+$B9*0.05)/(1+H$6)^7+Project_CF!K7*(1+$B9*0.05)/(1+H$6)^8+Project_CF!L7*(1+$B9*0.05)/(1+H$6)^9+Project_CF!M7*(1+$B9*0.05)/(1+H$6)^10</f>
        <v>477.029916633665</v>
      </c>
      <c r="I9" s="51" t="n">
        <f aca="false">Project_CF!C7/(1+I$6)^0+Project_CF!D7*(1+$B9*0.05)/(1+I$6)^1+Project_CF!E7*(1+$B9*0.05)/(1+I$6)^2+Project_CF!F7*(1+$B9*0.05)/(1+I$6)^3+Project_CF!G7*(1+$B9*0.05)/(1+I$6)^4+Project_CF!H7*(1+$B9*0.05)/(1+I$6)^5+Project_CF!I7*(1+$B9*0.05)/(1+I$6)^6+Project_CF!J7*(1+$B9*0.05)/(1+I$6)^7+Project_CF!K7*(1+$B9*0.05)/(1+I$6)^8+Project_CF!L7*(1+$B9*0.05)/(1+I$6)^9+Project_CF!M7*(1+$B9*0.05)/(1+I$6)^10</f>
        <v>360.067574910955</v>
      </c>
      <c r="J9" s="51" t="n">
        <f aca="false">Project_CF!C7/(1+J$6)^0+Project_CF!D7*(1+$B9*0.05)/(1+J$6)^1+Project_CF!E7*(1+$B9*0.05)/(1+J$6)^2+Project_CF!F7*(1+$B9*0.05)/(1+J$6)^3+Project_CF!G7*(1+$B9*0.05)/(1+J$6)^4+Project_CF!H7*(1+$B9*0.05)/(1+J$6)^5+Project_CF!I7*(1+$B9*0.05)/(1+J$6)^6+Project_CF!J7*(1+$B9*0.05)/(1+J$6)^7+Project_CF!K7*(1+$B9*0.05)/(1+J$6)^8+Project_CF!L7*(1+$B9*0.05)/(1+J$6)^9+Project_CF!M7*(1+$B9*0.05)/(1+J$6)^10</f>
        <v>250.933782119475</v>
      </c>
      <c r="K9" s="51" t="n">
        <f aca="false">Project_CF!C7/(1+K$6)^0+Project_CF!D7*(1+$B9*0.05)/(1+K$6)^1+Project_CF!E7*(1+$B9*0.05)/(1+K$6)^2+Project_CF!F7*(1+$B9*0.05)/(1+K$6)^3+Project_CF!G7*(1+$B9*0.05)/(1+K$6)^4+Project_CF!H7*(1+$B9*0.05)/(1+K$6)^5+Project_CF!I7*(1+$B9*0.05)/(1+K$6)^6+Project_CF!J7*(1+$B9*0.05)/(1+K$6)^7+Project_CF!K7*(1+$B9*0.05)/(1+K$6)^8+Project_CF!L7*(1+$B9*0.05)/(1+K$6)^9+Project_CF!M7*(1+$B9*0.05)/(1+K$6)^10</f>
        <v>148.992369975313</v>
      </c>
      <c r="L9" s="51" t="n">
        <f aca="false">Project_CF!C7/(1+L$6)^0+Project_CF!D7*(1+$B9*0.05)/(1+L$6)^1+Project_CF!E7*(1+$B9*0.05)/(1+L$6)^2+Project_CF!F7*(1+$B9*0.05)/(1+L$6)^3+Project_CF!G7*(1+$B9*0.05)/(1+L$6)^4+Project_CF!H7*(1+$B9*0.05)/(1+L$6)^5+Project_CF!I7*(1+$B9*0.05)/(1+L$6)^6+Project_CF!J7*(1+$B9*0.05)/(1+L$6)^7+Project_CF!K7*(1+$B9*0.05)/(1+L$6)^8+Project_CF!L7*(1+$B9*0.05)/(1+L$6)^9+Project_CF!M7*(1+$B9*0.05)/(1+L$6)^10</f>
        <v>53.6663537333376</v>
      </c>
      <c r="M9" s="51" t="n">
        <f aca="false">Project_CF!C7/(1+M$6)^0+Project_CF!D7*(1+$B9*0.05)/(1+M$6)^1+Project_CF!E7*(1+$B9*0.05)/(1+M$6)^2+Project_CF!F7*(1+$B9*0.05)/(1+M$6)^3+Project_CF!G7*(1+$B9*0.05)/(1+M$6)^4+Project_CF!H7*(1+$B9*0.05)/(1+M$6)^5+Project_CF!I7*(1+$B9*0.05)/(1+M$6)^6+Project_CF!J7*(1+$B9*0.05)/(1+M$6)^7+Project_CF!K7*(1+$B9*0.05)/(1+M$6)^8+Project_CF!L7*(1+$B9*0.05)/(1+M$6)^9+Project_CF!M7*(1+$B9*0.05)/(1+M$6)^10</f>
        <v>-35.5681838579759</v>
      </c>
    </row>
    <row r="10" customFormat="false" ht="15" hidden="false" customHeight="false" outlineLevel="0" collapsed="false">
      <c r="B10" s="50" t="n">
        <v>-1</v>
      </c>
      <c r="C10" s="51" t="n">
        <f aca="false">Project_CF!C7/(1+C$6)^0+Project_CF!D7*(1+$B10*0.05)/(1+C$6)^1+Project_CF!E7*(1+$B10*0.05)/(1+C$6)^2+Project_CF!F7*(1+$B10*0.05)/(1+C$6)^3+Project_CF!G7*(1+$B10*0.05)/(1+C$6)^4+Project_CF!H7*(1+$B10*0.05)/(1+C$6)^5+Project_CF!I7*(1+$B10*0.05)/(1+C$6)^6+Project_CF!J7*(1+$B10*0.05)/(1+C$6)^7+Project_CF!K7*(1+$B10*0.05)/(1+C$6)^8+Project_CF!L7*(1+$B10*0.05)/(1+C$6)^9+Project_CF!M7*(1+$B10*0.05)/(1+C$6)^10</f>
        <v>1293.2939936329</v>
      </c>
      <c r="D10" s="51" t="n">
        <f aca="false">Project_CF!C7/(1+D$6)^0+Project_CF!D7*(1+$B10*0.05)/(1+D$6)^1+Project_CF!E7*(1+$B10*0.05)/(1+D$6)^2+Project_CF!F7*(1+$B10*0.05)/(1+D$6)^3+Project_CF!G7*(1+$B10*0.05)/(1+D$6)^4+Project_CF!H7*(1+$B10*0.05)/(1+D$6)^5+Project_CF!I7*(1+$B10*0.05)/(1+D$6)^6+Project_CF!J7*(1+$B10*0.05)/(1+D$6)^7+Project_CF!K7*(1+$B10*0.05)/(1+D$6)^8+Project_CF!L7*(1+$B10*0.05)/(1+D$6)^9+Project_CF!M7*(1+$B10*0.05)/(1+D$6)^10</f>
        <v>1120.49039132875</v>
      </c>
      <c r="E10" s="51" t="n">
        <f aca="false">Project_CF!C7/(1+E$6)^0+Project_CF!D7*(1+$B10*0.05)/(1+E$6)^1+Project_CF!E7*(1+$B10*0.05)/(1+E$6)^2+Project_CF!F7*(1+$B10*0.05)/(1+E$6)^3+Project_CF!G7*(1+$B10*0.05)/(1+E$6)^4+Project_CF!H7*(1+$B10*0.05)/(1+E$6)^5+Project_CF!I7*(1+$B10*0.05)/(1+E$6)^6+Project_CF!J7*(1+$B10*0.05)/(1+E$6)^7+Project_CF!K7*(1+$B10*0.05)/(1+E$6)^8+Project_CF!L7*(1+$B10*0.05)/(1+E$6)^9+Project_CF!M7*(1+$B10*0.05)/(1+E$6)^10</f>
        <v>960.188719467461</v>
      </c>
      <c r="F10" s="51" t="n">
        <f aca="false">Project_CF!C7/(1+F$6)^0+Project_CF!D7*(1+$B10*0.05)/(1+F$6)^1+Project_CF!E7*(1+$B10*0.05)/(1+F$6)^2+Project_CF!F7*(1+$B10*0.05)/(1+F$6)^3+Project_CF!G7*(1+$B10*0.05)/(1+F$6)^4+Project_CF!H7*(1+$B10*0.05)/(1+F$6)^5+Project_CF!I7*(1+$B10*0.05)/(1+F$6)^6+Project_CF!J7*(1+$B10*0.05)/(1+F$6)^7+Project_CF!K7*(1+$B10*0.05)/(1+F$6)^8+Project_CF!L7*(1+$B10*0.05)/(1+F$6)^9+Project_CF!M7*(1+$B10*0.05)/(1+F$6)^10</f>
        <v>811.304852304333</v>
      </c>
      <c r="G10" s="51" t="n">
        <f aca="false">Project_CF!C7/(1+G$6)^0+Project_CF!D7*(1+$B10*0.05)/(1+G$6)^1+Project_CF!E7*(1+$B10*0.05)/(1+G$6)^2+Project_CF!F7*(1+$B10*0.05)/(1+G$6)^3+Project_CF!G7*(1+$B10*0.05)/(1+G$6)^4+Project_CF!H7*(1+$B10*0.05)/(1+G$6)^5+Project_CF!I7*(1+$B10*0.05)/(1+G$6)^6+Project_CF!J7*(1+$B10*0.05)/(1+G$6)^7+Project_CF!K7*(1+$B10*0.05)/(1+G$6)^8+Project_CF!L7*(1+$B10*0.05)/(1+G$6)^9+Project_CF!M7*(1+$B10*0.05)/(1+G$6)^10</f>
        <v>672.861522068388</v>
      </c>
      <c r="H10" s="51" t="n">
        <f aca="false">Project_CF!C7/(1+H$6)^0+Project_CF!D7*(1+$B10*0.05)/(1+H$6)^1+Project_CF!E7*(1+$B10*0.05)/(1+H$6)^2+Project_CF!F7*(1+$B10*0.05)/(1+H$6)^3+Project_CF!G7*(1+$B10*0.05)/(1+H$6)^4+Project_CF!H7*(1+$B10*0.05)/(1+H$6)^5+Project_CF!I7*(1+$B10*0.05)/(1+H$6)^6+Project_CF!J7*(1+$B10*0.05)/(1+H$6)^7+Project_CF!K7*(1+$B10*0.05)/(1+H$6)^8+Project_CF!L7*(1+$B10*0.05)/(1+H$6)^9+Project_CF!M7*(1+$B10*0.05)/(1+H$6)^10</f>
        <v>543.976671137277</v>
      </c>
      <c r="I10" s="51" t="n">
        <f aca="false">Project_CF!C7/(1+I$6)^0+Project_CF!D7*(1+$B10*0.05)/(1+I$6)^1+Project_CF!E7*(1+$B10*0.05)/(1+I$6)^2+Project_CF!F7*(1+$B10*0.05)/(1+I$6)^3+Project_CF!G7*(1+$B10*0.05)/(1+I$6)^4+Project_CF!H7*(1+$B10*0.05)/(1+I$6)^5+Project_CF!I7*(1+$B10*0.05)/(1+I$6)^6+Project_CF!J7*(1+$B10*0.05)/(1+I$6)^7+Project_CF!K7*(1+$B10*0.05)/(1+I$6)^8+Project_CF!L7*(1+$B10*0.05)/(1+I$6)^9+Project_CF!M7*(1+$B10*0.05)/(1+I$6)^10</f>
        <v>423.853185043683</v>
      </c>
      <c r="J10" s="51" t="n">
        <f aca="false">Project_CF!C7/(1+J$6)^0+Project_CF!D7*(1+$B10*0.05)/(1+J$6)^1+Project_CF!E7*(1+$B10*0.05)/(1+J$6)^2+Project_CF!F7*(1+$B10*0.05)/(1+J$6)^3+Project_CF!G7*(1+$B10*0.05)/(1+J$6)^4+Project_CF!H7*(1+$B10*0.05)/(1+J$6)^5+Project_CF!I7*(1+$B10*0.05)/(1+J$6)^6+Project_CF!J7*(1+$B10*0.05)/(1+J$6)^7+Project_CF!K7*(1+$B10*0.05)/(1+J$6)^8+Project_CF!L7*(1+$B10*0.05)/(1+J$6)^9+Project_CF!M7*(1+$B10*0.05)/(1+J$6)^10</f>
        <v>311.769830284866</v>
      </c>
      <c r="K10" s="51" t="n">
        <f aca="false">Project_CF!C7/(1+K$6)^0+Project_CF!D7*(1+$B10*0.05)/(1+K$6)^1+Project_CF!E7*(1+$B10*0.05)/(1+K$6)^2+Project_CF!F7*(1+$B10*0.05)/(1+K$6)^3+Project_CF!G7*(1+$B10*0.05)/(1+K$6)^4+Project_CF!H7*(1+$B10*0.05)/(1+K$6)^5+Project_CF!I7*(1+$B10*0.05)/(1+K$6)^6+Project_CF!J7*(1+$B10*0.05)/(1+K$6)^7+Project_CF!K7*(1+$B10*0.05)/(1+K$6)^8+Project_CF!L7*(1+$B10*0.05)/(1+K$6)^9+Project_CF!M7*(1+$B10*0.05)/(1+K$6)^10</f>
        <v>207.073244839511</v>
      </c>
      <c r="L10" s="51" t="n">
        <f aca="false">Project_CF!C7/(1+L$6)^0+Project_CF!D7*(1+$B10*0.05)/(1+L$6)^1+Project_CF!E7*(1+$B10*0.05)/(1+L$6)^2+Project_CF!F7*(1+$B10*0.05)/(1+L$6)^3+Project_CF!G7*(1+$B10*0.05)/(1+L$6)^4+Project_CF!H7*(1+$B10*0.05)/(1+L$6)^5+Project_CF!I7*(1+$B10*0.05)/(1+L$6)^6+Project_CF!J7*(1+$B10*0.05)/(1+L$6)^7+Project_CF!K7*(1+$B10*0.05)/(1+L$6)^8+Project_CF!L7*(1+$B10*0.05)/(1+L$6)^9+Project_CF!M7*(1+$B10*0.05)/(1+L$6)^10</f>
        <v>109.170849780184</v>
      </c>
      <c r="M10" s="51" t="n">
        <f aca="false">Project_CF!C7/(1+M$6)^0+Project_CF!D7*(1+$B10*0.05)/(1+M$6)^1+Project_CF!E7*(1+$B10*0.05)/(1+M$6)^2+Project_CF!F7*(1+$B10*0.05)/(1+M$6)^3+Project_CF!G7*(1+$B10*0.05)/(1+M$6)^4+Project_CF!H7*(1+$B10*0.05)/(1+M$6)^5+Project_CF!I7*(1+$B10*0.05)/(1+M$6)^6+Project_CF!J7*(1+$B10*0.05)/(1+M$6)^7+Project_CF!K7*(1+$B10*0.05)/(1+M$6)^8+Project_CF!L7*(1+$B10*0.05)/(1+M$6)^9+Project_CF!M7*(1+$B10*0.05)/(1+M$6)^10</f>
        <v>17.524567929646</v>
      </c>
    </row>
    <row r="11" customFormat="false" ht="15" hidden="false" customHeight="false" outlineLevel="0" collapsed="false">
      <c r="B11" s="50" t="n">
        <v>-0.5</v>
      </c>
      <c r="C11" s="51" t="n">
        <f aca="false">Project_CF!C7/(1+C$6)^0+Project_CF!D7*(1+$B11*0.05)/(1+C$6)^1+Project_CF!E7*(1+$B11*0.05)/(1+C$6)^2+Project_CF!F7*(1+$B11*0.05)/(1+C$6)^3+Project_CF!G7*(1+$B11*0.05)/(1+C$6)^4+Project_CF!H7*(1+$B11*0.05)/(1+C$6)^5+Project_CF!I7*(1+$B11*0.05)/(1+C$6)^6+Project_CF!J7*(1+$B11*0.05)/(1+C$6)^7+Project_CF!K7*(1+$B11*0.05)/(1+C$6)^8+Project_CF!L7*(1+$B11*0.05)/(1+C$6)^9+Project_CF!M7*(1+$B11*0.05)/(1+C$6)^10</f>
        <v>1379.95962504429</v>
      </c>
      <c r="D11" s="51" t="n">
        <f aca="false">Project_CF!C7/(1+D$6)^0+Project_CF!D7*(1+$B11*0.05)/(1+D$6)^1+Project_CF!E7*(1+$B11*0.05)/(1+D$6)^2+Project_CF!F7*(1+$B11*0.05)/(1+D$6)^3+Project_CF!G7*(1+$B11*0.05)/(1+D$6)^4+Project_CF!H7*(1+$B11*0.05)/(1+D$6)^5+Project_CF!I7*(1+$B11*0.05)/(1+D$6)^6+Project_CF!J7*(1+$B11*0.05)/(1+D$6)^7+Project_CF!K7*(1+$B11*0.05)/(1+D$6)^8+Project_CF!L7*(1+$B11*0.05)/(1+D$6)^9+Project_CF!M7*(1+$B11*0.05)/(1+D$6)^10</f>
        <v>1202.60855952161</v>
      </c>
      <c r="E11" s="51" t="n">
        <f aca="false">Project_CF!C7/(1+E$6)^0+Project_CF!D7*(1+$B11*0.05)/(1+E$6)^1+Project_CF!E7*(1+$B11*0.05)/(1+E$6)^2+Project_CF!F7*(1+$B11*0.05)/(1+E$6)^3+Project_CF!G7*(1+$B11*0.05)/(1+E$6)^4+Project_CF!H7*(1+$B11*0.05)/(1+E$6)^5+Project_CF!I7*(1+$B11*0.05)/(1+E$6)^6+Project_CF!J7*(1+$B11*0.05)/(1+E$6)^7+Project_CF!K7*(1+$B11*0.05)/(1+E$6)^8+Project_CF!L7*(1+$B11*0.05)/(1+E$6)^9+Project_CF!M7*(1+$B11*0.05)/(1+E$6)^10</f>
        <v>1038.08842261134</v>
      </c>
      <c r="F11" s="51" t="n">
        <f aca="false">Project_CF!C7/(1+F$6)^0+Project_CF!D7*(1+$B11*0.05)/(1+F$6)^1+Project_CF!E7*(1+$B11*0.05)/(1+F$6)^2+Project_CF!F7*(1+$B11*0.05)/(1+F$6)^3+Project_CF!G7*(1+$B11*0.05)/(1+F$6)^4+Project_CF!H7*(1+$B11*0.05)/(1+F$6)^5+Project_CF!I7*(1+$B11*0.05)/(1+F$6)^6+Project_CF!J7*(1+$B11*0.05)/(1+F$6)^7+Project_CF!K7*(1+$B11*0.05)/(1+F$6)^8+Project_CF!L7*(1+$B11*0.05)/(1+F$6)^9+Project_CF!M7*(1+$B11*0.05)/(1+F$6)^10</f>
        <v>885.286558943921</v>
      </c>
      <c r="G11" s="51" t="n">
        <f aca="false">Project_CF!C7/(1+G$6)^0+Project_CF!D7*(1+$B11*0.05)/(1+G$6)^1+Project_CF!E7*(1+$B11*0.05)/(1+G$6)^2+Project_CF!F7*(1+$B11*0.05)/(1+G$6)^3+Project_CF!G7*(1+$B11*0.05)/(1+G$6)^4+Project_CF!H7*(1+$B11*0.05)/(1+G$6)^5+Project_CF!I7*(1+$B11*0.05)/(1+G$6)^6+Project_CF!J7*(1+$B11*0.05)/(1+G$6)^7+Project_CF!K7*(1+$B11*0.05)/(1+G$6)^8+Project_CF!L7*(1+$B11*0.05)/(1+G$6)^9+Project_CF!M7*(1+$B11*0.05)/(1+G$6)^10</f>
        <v>743.19998317545</v>
      </c>
      <c r="H11" s="51" t="n">
        <f aca="false">Project_CF!C7/(1+H$6)^0+Project_CF!D7*(1+$B11*0.05)/(1+H$6)^1+Project_CF!E7*(1+$B11*0.05)/(1+H$6)^2+Project_CF!F7*(1+$B11*0.05)/(1+H$6)^3+Project_CF!G7*(1+$B11*0.05)/(1+H$6)^4+Project_CF!H7*(1+$B11*0.05)/(1+H$6)^5+Project_CF!I7*(1+$B11*0.05)/(1+H$6)^6+Project_CF!J7*(1+$B11*0.05)/(1+H$6)^7+Project_CF!K7*(1+$B11*0.05)/(1+H$6)^8+Project_CF!L7*(1+$B11*0.05)/(1+H$6)^9+Project_CF!M7*(1+$B11*0.05)/(1+H$6)^10</f>
        <v>610.92342564089</v>
      </c>
      <c r="I11" s="51" t="n">
        <f aca="false">Project_CF!C7/(1+I$6)^0+Project_CF!D7*(1+$B11*0.05)/(1+I$6)^1+Project_CF!E7*(1+$B11*0.05)/(1+I$6)^2+Project_CF!F7*(1+$B11*0.05)/(1+I$6)^3+Project_CF!G7*(1+$B11*0.05)/(1+I$6)^4+Project_CF!H7*(1+$B11*0.05)/(1+I$6)^5+Project_CF!I7*(1+$B11*0.05)/(1+I$6)^6+Project_CF!J7*(1+$B11*0.05)/(1+I$6)^7+Project_CF!K7*(1+$B11*0.05)/(1+I$6)^8+Project_CF!L7*(1+$B11*0.05)/(1+I$6)^9+Project_CF!M7*(1+$B11*0.05)/(1+I$6)^10</f>
        <v>487.638795176412</v>
      </c>
      <c r="J11" s="51" t="n">
        <f aca="false">Project_CF!C7/(1+J$6)^0+Project_CF!D7*(1+$B11*0.05)/(1+J$6)^1+Project_CF!E7*(1+$B11*0.05)/(1+J$6)^2+Project_CF!F7*(1+$B11*0.05)/(1+J$6)^3+Project_CF!G7*(1+$B11*0.05)/(1+J$6)^4+Project_CF!H7*(1+$B11*0.05)/(1+J$6)^5+Project_CF!I7*(1+$B11*0.05)/(1+J$6)^6+Project_CF!J7*(1+$B11*0.05)/(1+J$6)^7+Project_CF!K7*(1+$B11*0.05)/(1+J$6)^8+Project_CF!L7*(1+$B11*0.05)/(1+J$6)^9+Project_CF!M7*(1+$B11*0.05)/(1+J$6)^10</f>
        <v>372.605878450258</v>
      </c>
      <c r="K11" s="51" t="n">
        <f aca="false">Project_CF!C7/(1+K$6)^0+Project_CF!D7*(1+$B11*0.05)/(1+K$6)^1+Project_CF!E7*(1+$B11*0.05)/(1+K$6)^2+Project_CF!F7*(1+$B11*0.05)/(1+K$6)^3+Project_CF!G7*(1+$B11*0.05)/(1+K$6)^4+Project_CF!H7*(1+$B11*0.05)/(1+K$6)^5+Project_CF!I7*(1+$B11*0.05)/(1+K$6)^6+Project_CF!J7*(1+$B11*0.05)/(1+K$6)^7+Project_CF!K7*(1+$B11*0.05)/(1+K$6)^8+Project_CF!L7*(1+$B11*0.05)/(1+K$6)^9+Project_CF!M7*(1+$B11*0.05)/(1+K$6)^10</f>
        <v>265.154119703709</v>
      </c>
      <c r="L11" s="51" t="n">
        <f aca="false">Project_CF!C7/(1+L$6)^0+Project_CF!D7*(1+$B11*0.05)/(1+L$6)^1+Project_CF!E7*(1+$B11*0.05)/(1+L$6)^2+Project_CF!F7*(1+$B11*0.05)/(1+L$6)^3+Project_CF!G7*(1+$B11*0.05)/(1+L$6)^4+Project_CF!H7*(1+$B11*0.05)/(1+L$6)^5+Project_CF!I7*(1+$B11*0.05)/(1+L$6)^6+Project_CF!J7*(1+$B11*0.05)/(1+L$6)^7+Project_CF!K7*(1+$B11*0.05)/(1+L$6)^8+Project_CF!L7*(1+$B11*0.05)/(1+L$6)^9+Project_CF!M7*(1+$B11*0.05)/(1+L$6)^10</f>
        <v>164.675345827031</v>
      </c>
      <c r="M11" s="51" t="n">
        <f aca="false">Project_CF!C7/(1+M$6)^0+Project_CF!D7*(1+$B11*0.05)/(1+M$6)^1+Project_CF!E7*(1+$B11*0.05)/(1+M$6)^2+Project_CF!F7*(1+$B11*0.05)/(1+M$6)^3+Project_CF!G7*(1+$B11*0.05)/(1+M$6)^4+Project_CF!H7*(1+$B11*0.05)/(1+M$6)^5+Project_CF!I7*(1+$B11*0.05)/(1+M$6)^6+Project_CF!J7*(1+$B11*0.05)/(1+M$6)^7+Project_CF!K7*(1+$B11*0.05)/(1+M$6)^8+Project_CF!L7*(1+$B11*0.05)/(1+M$6)^9+Project_CF!M7*(1+$B11*0.05)/(1+M$6)^10</f>
        <v>70.6173197172684</v>
      </c>
    </row>
    <row r="12" customFormat="false" ht="15" hidden="false" customHeight="false" outlineLevel="0" collapsed="false">
      <c r="B12" s="50" t="n">
        <v>0</v>
      </c>
      <c r="C12" s="51" t="n">
        <f aca="false">Project_CF!C7/(1+C$6)^0+Project_CF!D7*(1+$B12*0.05)/(1+C$6)^1+Project_CF!E7*(1+$B12*0.05)/(1+C$6)^2+Project_CF!F7*(1+$B12*0.05)/(1+C$6)^3+Project_CF!G7*(1+$B12*0.05)/(1+C$6)^4+Project_CF!H7*(1+$B12*0.05)/(1+C$6)^5+Project_CF!I7*(1+$B12*0.05)/(1+C$6)^6+Project_CF!J7*(1+$B12*0.05)/(1+C$6)^7+Project_CF!K7*(1+$B12*0.05)/(1+C$6)^8+Project_CF!L7*(1+$B12*0.05)/(1+C$6)^9+Project_CF!M7*(1+$B12*0.05)/(1+C$6)^10</f>
        <v>1466.62525645568</v>
      </c>
      <c r="D12" s="51" t="n">
        <f aca="false">Project_CF!C7/(1+D$6)^0+Project_CF!D7*(1+$B12*0.05)/(1+D$6)^1+Project_CF!E7*(1+$B12*0.05)/(1+D$6)^2+Project_CF!F7*(1+$B12*0.05)/(1+D$6)^3+Project_CF!G7*(1+$B12*0.05)/(1+D$6)^4+Project_CF!H7*(1+$B12*0.05)/(1+D$6)^5+Project_CF!I7*(1+$B12*0.05)/(1+D$6)^6+Project_CF!J7*(1+$B12*0.05)/(1+D$6)^7+Project_CF!K7*(1+$B12*0.05)/(1+D$6)^8+Project_CF!L7*(1+$B12*0.05)/(1+D$6)^9+Project_CF!M7*(1+$B12*0.05)/(1+D$6)^10</f>
        <v>1284.72672771447</v>
      </c>
      <c r="E12" s="51" t="n">
        <f aca="false">Project_CF!C7/(1+E$6)^0+Project_CF!D7*(1+$B12*0.05)/(1+E$6)^1+Project_CF!E7*(1+$B12*0.05)/(1+E$6)^2+Project_CF!F7*(1+$B12*0.05)/(1+E$6)^3+Project_CF!G7*(1+$B12*0.05)/(1+E$6)^4+Project_CF!H7*(1+$B12*0.05)/(1+E$6)^5+Project_CF!I7*(1+$B12*0.05)/(1+E$6)^6+Project_CF!J7*(1+$B12*0.05)/(1+E$6)^7+Project_CF!K7*(1+$B12*0.05)/(1+E$6)^8+Project_CF!L7*(1+$B12*0.05)/(1+E$6)^9+Project_CF!M7*(1+$B12*0.05)/(1+E$6)^10</f>
        <v>1115.98812575522</v>
      </c>
      <c r="F12" s="51" t="n">
        <f aca="false">Project_CF!C7/(1+F$6)^0+Project_CF!D7*(1+$B12*0.05)/(1+F$6)^1+Project_CF!E7*(1+$B12*0.05)/(1+F$6)^2+Project_CF!F7*(1+$B12*0.05)/(1+F$6)^3+Project_CF!G7*(1+$B12*0.05)/(1+F$6)^4+Project_CF!H7*(1+$B12*0.05)/(1+F$6)^5+Project_CF!I7*(1+$B12*0.05)/(1+F$6)^6+Project_CF!J7*(1+$B12*0.05)/(1+F$6)^7+Project_CF!K7*(1+$B12*0.05)/(1+F$6)^8+Project_CF!L7*(1+$B12*0.05)/(1+F$6)^9+Project_CF!M7*(1+$B12*0.05)/(1+F$6)^10</f>
        <v>959.268265583509</v>
      </c>
      <c r="G12" s="51" t="n">
        <f aca="false">Project_CF!C7/(1+G$6)^0+Project_CF!D7*(1+$B12*0.05)/(1+G$6)^1+Project_CF!E7*(1+$B12*0.05)/(1+G$6)^2+Project_CF!F7*(1+$B12*0.05)/(1+G$6)^3+Project_CF!G7*(1+$B12*0.05)/(1+G$6)^4+Project_CF!H7*(1+$B12*0.05)/(1+G$6)^5+Project_CF!I7*(1+$B12*0.05)/(1+G$6)^6+Project_CF!J7*(1+$B12*0.05)/(1+G$6)^7+Project_CF!K7*(1+$B12*0.05)/(1+G$6)^8+Project_CF!L7*(1+$B12*0.05)/(1+G$6)^9+Project_CF!M7*(1+$B12*0.05)/(1+G$6)^10</f>
        <v>813.538444282513</v>
      </c>
      <c r="H12" s="51" t="n">
        <f aca="false">Project_CF!C7/(1+H$6)^0+Project_CF!D7*(1+$B12*0.05)/(1+H$6)^1+Project_CF!E7*(1+$B12*0.05)/(1+H$6)^2+Project_CF!F7*(1+$B12*0.05)/(1+H$6)^3+Project_CF!G7*(1+$B12*0.05)/(1+H$6)^4+Project_CF!H7*(1+$B12*0.05)/(1+H$6)^5+Project_CF!I7*(1+$B12*0.05)/(1+H$6)^6+Project_CF!J7*(1+$B12*0.05)/(1+H$6)^7+Project_CF!K7*(1+$B12*0.05)/(1+H$6)^8+Project_CF!L7*(1+$B12*0.05)/(1+H$6)^9+Project_CF!M7*(1+$B12*0.05)/(1+H$6)^10</f>
        <v>677.870180144502</v>
      </c>
      <c r="I12" s="51" t="n">
        <f aca="false">Project_CF!C7/(1+I$6)^0+Project_CF!D7*(1+$B12*0.05)/(1+I$6)^1+Project_CF!E7*(1+$B12*0.05)/(1+I$6)^2+Project_CF!F7*(1+$B12*0.05)/(1+I$6)^3+Project_CF!G7*(1+$B12*0.05)/(1+I$6)^4+Project_CF!H7*(1+$B12*0.05)/(1+I$6)^5+Project_CF!I7*(1+$B12*0.05)/(1+I$6)^6+Project_CF!J7*(1+$B12*0.05)/(1+I$6)^7+Project_CF!K7*(1+$B12*0.05)/(1+I$6)^8+Project_CF!L7*(1+$B12*0.05)/(1+I$6)^9+Project_CF!M7*(1+$B12*0.05)/(1+I$6)^10</f>
        <v>551.42440530914</v>
      </c>
      <c r="J12" s="51" t="n">
        <f aca="false">Project_CF!C7/(1+J$6)^0+Project_CF!D7*(1+$B12*0.05)/(1+J$6)^1+Project_CF!E7*(1+$B12*0.05)/(1+J$6)^2+Project_CF!F7*(1+$B12*0.05)/(1+J$6)^3+Project_CF!G7*(1+$B12*0.05)/(1+J$6)^4+Project_CF!H7*(1+$B12*0.05)/(1+J$6)^5+Project_CF!I7*(1+$B12*0.05)/(1+J$6)^6+Project_CF!J7*(1+$B12*0.05)/(1+J$6)^7+Project_CF!K7*(1+$B12*0.05)/(1+J$6)^8+Project_CF!L7*(1+$B12*0.05)/(1+J$6)^9+Project_CF!M7*(1+$B12*0.05)/(1+J$6)^10</f>
        <v>433.441926615649</v>
      </c>
      <c r="K12" s="51" t="n">
        <f aca="false">Project_CF!C7/(1+K$6)^0+Project_CF!D7*(1+$B12*0.05)/(1+K$6)^1+Project_CF!E7*(1+$B12*0.05)/(1+K$6)^2+Project_CF!F7*(1+$B12*0.05)/(1+K$6)^3+Project_CF!G7*(1+$B12*0.05)/(1+K$6)^4+Project_CF!H7*(1+$B12*0.05)/(1+K$6)^5+Project_CF!I7*(1+$B12*0.05)/(1+K$6)^6+Project_CF!J7*(1+$B12*0.05)/(1+K$6)^7+Project_CF!K7*(1+$B12*0.05)/(1+K$6)^8+Project_CF!L7*(1+$B12*0.05)/(1+K$6)^9+Project_CF!M7*(1+$B12*0.05)/(1+K$6)^10</f>
        <v>323.234994567906</v>
      </c>
      <c r="L12" s="51" t="n">
        <f aca="false">Project_CF!C7/(1+L$6)^0+Project_CF!D7*(1+$B12*0.05)/(1+L$6)^1+Project_CF!E7*(1+$B12*0.05)/(1+L$6)^2+Project_CF!F7*(1+$B12*0.05)/(1+L$6)^3+Project_CF!G7*(1+$B12*0.05)/(1+L$6)^4+Project_CF!H7*(1+$B12*0.05)/(1+L$6)^5+Project_CF!I7*(1+$B12*0.05)/(1+L$6)^6+Project_CF!J7*(1+$B12*0.05)/(1+L$6)^7+Project_CF!K7*(1+$B12*0.05)/(1+L$6)^8+Project_CF!L7*(1+$B12*0.05)/(1+L$6)^9+Project_CF!M7*(1+$B12*0.05)/(1+L$6)^10</f>
        <v>220.179841873878</v>
      </c>
      <c r="M12" s="51" t="n">
        <f aca="false">Project_CF!C7/(1+M$6)^0+Project_CF!D7*(1+$B12*0.05)/(1+M$6)^1+Project_CF!E7*(1+$B12*0.05)/(1+M$6)^2+Project_CF!F7*(1+$B12*0.05)/(1+M$6)^3+Project_CF!G7*(1+$B12*0.05)/(1+M$6)^4+Project_CF!H7*(1+$B12*0.05)/(1+M$6)^5+Project_CF!I7*(1+$B12*0.05)/(1+M$6)^6+Project_CF!J7*(1+$B12*0.05)/(1+M$6)^7+Project_CF!K7*(1+$B12*0.05)/(1+M$6)^8+Project_CF!L7*(1+$B12*0.05)/(1+M$6)^9+Project_CF!M7*(1+$B12*0.05)/(1+M$6)^10</f>
        <v>123.710071504891</v>
      </c>
    </row>
    <row r="14" customFormat="false" ht="15" hidden="false" customHeight="false" outlineLevel="0" collapsed="false">
      <c r="B14" s="49" t="s">
        <v>173</v>
      </c>
      <c r="C14" s="48" t="n">
        <v>0.05</v>
      </c>
      <c r="D14" s="48" t="n">
        <v>0.06</v>
      </c>
      <c r="E14" s="48" t="n">
        <v>0.07</v>
      </c>
      <c r="F14" s="48" t="n">
        <v>0.08</v>
      </c>
      <c r="G14" s="48" t="n">
        <v>0.09</v>
      </c>
      <c r="H14" s="48" t="n">
        <v>0.1</v>
      </c>
      <c r="I14" s="48" t="n">
        <v>0.11</v>
      </c>
      <c r="J14" s="48" t="n">
        <v>0.12</v>
      </c>
      <c r="K14" s="48" t="n">
        <v>0.13</v>
      </c>
      <c r="L14" s="48" t="n">
        <v>0.14</v>
      </c>
      <c r="M14" s="48" t="n">
        <v>0.15</v>
      </c>
    </row>
    <row r="15" customFormat="false" ht="15" hidden="false" customHeight="false" outlineLevel="0" collapsed="false">
      <c r="B15" s="50" t="n">
        <v>-2</v>
      </c>
      <c r="C15" s="51" t="n">
        <f aca="false">Project_CF!C8/(1+C$14)^0+Project_CF!D8*(1+$B15*0.05)/(1+C$14)^1+Project_CF!E8*(1+$B15*0.05)/(1+C$14)^2+Project_CF!F8*(1+$B15*0.05)/(1+C$14)^3+Project_CF!G8*(1+$B15*0.05)/(1+C$14)^4+Project_CF!H8*(1+$B15*0.05)/(1+C$14)^5+Project_CF!I8*(1+$B15*0.05)/(1+C$14)^6+Project_CF!J8*(1+$B15*0.05)/(1+C$14)^7+Project_CF!K8*(1+$B15*0.05)/(1+C$14)^8+Project_CF!L8*(1+$B15*0.05)/(1+C$14)^9+Project_CF!M8*(1+$B15*0.05)/(1+C$14)^10</f>
        <v>791.610702512727</v>
      </c>
      <c r="D15" s="51" t="n">
        <f aca="false">Project_CF!C8/(1+D$14)^0+Project_CF!D8*(1+$B15*0.05)/(1+D$14)^1+Project_CF!E8*(1+$B15*0.05)/(1+D$14)^2+Project_CF!F8*(1+$B15*0.05)/(1+D$14)^3+Project_CF!G8*(1+$B15*0.05)/(1+D$14)^4+Project_CF!H8*(1+$B15*0.05)/(1+D$14)^5+Project_CF!I8*(1+$B15*0.05)/(1+D$14)^6+Project_CF!J8*(1+$B15*0.05)/(1+D$14)^7+Project_CF!K8*(1+$B15*0.05)/(1+D$14)^8+Project_CF!L8*(1+$B15*0.05)/(1+D$14)^9+Project_CF!M8*(1+$B15*0.05)/(1+D$14)^10</f>
        <v>737.252605880957</v>
      </c>
      <c r="E15" s="51" t="n">
        <f aca="false">Project_CF!C8/(1+E$14)^0+Project_CF!D8*(1+$B15*0.05)/(1+E$14)^1+Project_CF!E8*(1+$B15*0.05)/(1+E$14)^2+Project_CF!F8*(1+$B15*0.05)/(1+E$14)^3+Project_CF!G8*(1+$B15*0.05)/(1+E$14)^4+Project_CF!H8*(1+$B15*0.05)/(1+E$14)^5+Project_CF!I8*(1+$B15*0.05)/(1+E$14)^6+Project_CF!J8*(1+$B15*0.05)/(1+E$14)^7+Project_CF!K8*(1+$B15*0.05)/(1+E$14)^8+Project_CF!L8*(1+$B15*0.05)/(1+E$14)^9+Project_CF!M8*(1+$B15*0.05)/(1+E$14)^10</f>
        <v>686.616049484001</v>
      </c>
      <c r="F15" s="51" t="n">
        <f aca="false">Project_CF!C8/(1+F$14)^0+Project_CF!D8*(1+$B15*0.05)/(1+F$14)^1+Project_CF!E8*(1+$B15*0.05)/(1+F$14)^2+Project_CF!F8*(1+$B15*0.05)/(1+F$14)^3+Project_CF!G8*(1+$B15*0.05)/(1+F$14)^4+Project_CF!H8*(1+$B15*0.05)/(1+F$14)^5+Project_CF!I8*(1+$B15*0.05)/(1+F$14)^6+Project_CF!J8*(1+$B15*0.05)/(1+F$14)^7+Project_CF!K8*(1+$B15*0.05)/(1+F$14)^8+Project_CF!L8*(1+$B15*0.05)/(1+F$14)^9+Project_CF!M8*(1+$B15*0.05)/(1+F$14)^10</f>
        <v>639.387792797513</v>
      </c>
      <c r="G15" s="51" t="n">
        <f aca="false">Project_CF!C8/(1+G$14)^0+Project_CF!D8*(1+$B15*0.05)/(1+G$14)^1+Project_CF!E8*(1+$B15*0.05)/(1+G$14)^2+Project_CF!F8*(1+$B15*0.05)/(1+G$14)^3+Project_CF!G8*(1+$B15*0.05)/(1+G$14)^4+Project_CF!H8*(1+$B15*0.05)/(1+G$14)^5+Project_CF!I8*(1+$B15*0.05)/(1+G$14)^6+Project_CF!J8*(1+$B15*0.05)/(1+G$14)^7+Project_CF!K8*(1+$B15*0.05)/(1+G$14)^8+Project_CF!L8*(1+$B15*0.05)/(1+G$14)^9+Project_CF!M8*(1+$B15*0.05)/(1+G$14)^10</f>
        <v>595.284891612602</v>
      </c>
      <c r="H15" s="51" t="n">
        <f aca="false">Project_CF!C8/(1+H$14)^0+Project_CF!D8*(1+$B15*0.05)/(1+H$14)^1+Project_CF!E8*(1+$B15*0.05)/(1+H$14)^2+Project_CF!F8*(1+$B15*0.05)/(1+H$14)^3+Project_CF!G8*(1+$B15*0.05)/(1+H$14)^4+Project_CF!H8*(1+$B15*0.05)/(1+H$14)^5+Project_CF!I8*(1+$B15*0.05)/(1+H$14)^6+Project_CF!J8*(1+$B15*0.05)/(1+H$14)^7+Project_CF!K8*(1+$B15*0.05)/(1+H$14)^8+Project_CF!L8*(1+$B15*0.05)/(1+H$14)^9+Project_CF!M8*(1+$B15*0.05)/(1+H$14)^10</f>
        <v>554.051438893121</v>
      </c>
      <c r="I15" s="51" t="n">
        <f aca="false">Project_CF!C8/(1+I$14)^0+Project_CF!D8*(1+$B15*0.05)/(1+I$14)^1+Project_CF!E8*(1+$B15*0.05)/(1+I$14)^2+Project_CF!F8*(1+$B15*0.05)/(1+I$14)^3+Project_CF!G8*(1+$B15*0.05)/(1+I$14)^4+Project_CF!H8*(1+$B15*0.05)/(1+I$14)^5+Project_CF!I8*(1+$B15*0.05)/(1+I$14)^6+Project_CF!J8*(1+$B15*0.05)/(1+I$14)^7+Project_CF!K8*(1+$B15*0.05)/(1+I$14)^8+Project_CF!L8*(1+$B15*0.05)/(1+I$14)^9+Project_CF!M8*(1+$B15*0.05)/(1+I$14)^10</f>
        <v>515.455688248642</v>
      </c>
      <c r="J15" s="51" t="n">
        <f aca="false">Project_CF!C8/(1+J$14)^0+Project_CF!D8*(1+$B15*0.05)/(1+J$14)^1+Project_CF!E8*(1+$B15*0.05)/(1+J$14)^2+Project_CF!F8*(1+$B15*0.05)/(1+J$14)^3+Project_CF!G8*(1+$B15*0.05)/(1+J$14)^4+Project_CF!H8*(1+$B15*0.05)/(1+J$14)^5+Project_CF!I8*(1+$B15*0.05)/(1+J$14)^6+Project_CF!J8*(1+$B15*0.05)/(1+J$14)^7+Project_CF!K8*(1+$B15*0.05)/(1+J$14)^8+Project_CF!L8*(1+$B15*0.05)/(1+J$14)^9+Project_CF!M8*(1+$B15*0.05)/(1+J$14)^10</f>
        <v>479.287511613165</v>
      </c>
      <c r="K15" s="51" t="n">
        <f aca="false">Project_CF!C8/(1+K$14)^0+Project_CF!D8*(1+$B15*0.05)/(1+K$14)^1+Project_CF!E8*(1+$B15*0.05)/(1+K$14)^2+Project_CF!F8*(1+$B15*0.05)/(1+K$14)^3+Project_CF!G8*(1+$B15*0.05)/(1+K$14)^4+Project_CF!H8*(1+$B15*0.05)/(1+K$14)^5+Project_CF!I8*(1+$B15*0.05)/(1+K$14)^6+Project_CF!J8*(1+$B15*0.05)/(1+K$14)^7+Project_CF!K8*(1+$B15*0.05)/(1+K$14)^8+Project_CF!L8*(1+$B15*0.05)/(1+K$14)^9+Project_CF!M8*(1+$B15*0.05)/(1+K$14)^10</f>
        <v>445.356149261972</v>
      </c>
      <c r="L15" s="51" t="n">
        <f aca="false">Project_CF!C8/(1+L$14)^0+Project_CF!D8*(1+$B15*0.05)/(1+L$14)^1+Project_CF!E8*(1+$B15*0.05)/(1+L$14)^2+Project_CF!F8*(1+$B15*0.05)/(1+L$14)^3+Project_CF!G8*(1+$B15*0.05)/(1+L$14)^4+Project_CF!H8*(1+$B15*0.05)/(1+L$14)^5+Project_CF!I8*(1+$B15*0.05)/(1+L$14)^6+Project_CF!J8*(1+$B15*0.05)/(1+L$14)^7+Project_CF!K8*(1+$B15*0.05)/(1+L$14)^8+Project_CF!L8*(1+$B15*0.05)/(1+L$14)^9+Project_CF!M8*(1+$B15*0.05)/(1+L$14)^10</f>
        <v>413.488215903373</v>
      </c>
      <c r="M15" s="51" t="n">
        <f aca="false">Project_CF!C8/(1+M$14)^0+Project_CF!D8*(1+$B15*0.05)/(1+M$14)^1+Project_CF!E8*(1+$B15*0.05)/(1+M$14)^2+Project_CF!F8*(1+$B15*0.05)/(1+M$14)^3+Project_CF!G8*(1+$B15*0.05)/(1+M$14)^4+Project_CF!H8*(1+$B15*0.05)/(1+M$14)^5+Project_CF!I8*(1+$B15*0.05)/(1+M$14)^6+Project_CF!J8*(1+$B15*0.05)/(1+M$14)^7+Project_CF!K8*(1+$B15*0.05)/(1+M$14)^8+Project_CF!L8*(1+$B15*0.05)/(1+M$14)^9+Project_CF!M8*(1+$B15*0.05)/(1+M$14)^10</f>
        <v>383.525931390355</v>
      </c>
    </row>
    <row r="16" customFormat="false" ht="15" hidden="false" customHeight="false" outlineLevel="0" collapsed="false">
      <c r="B16" s="50" t="n">
        <v>-1.5</v>
      </c>
      <c r="C16" s="51" t="n">
        <f aca="false">Project_CF!C8/(1+C$14)^0+Project_CF!D8*(1+$B16*0.05)/(1+C$14)^1+Project_CF!E8*(1+$B16*0.05)/(1+C$14)^2+Project_CF!F8*(1+$B16*0.05)/(1+C$14)^3+Project_CF!G8*(1+$B16*0.05)/(1+C$14)^4+Project_CF!H8*(1+$B16*0.05)/(1+C$14)^5+Project_CF!I8*(1+$B16*0.05)/(1+C$14)^6+Project_CF!J8*(1+$B16*0.05)/(1+C$14)^7+Project_CF!K8*(1+$B16*0.05)/(1+C$14)^8+Project_CF!L8*(1+$B16*0.05)/(1+C$14)^9+Project_CF!M8*(1+$B16*0.05)/(1+C$14)^10</f>
        <v>824.710999804747</v>
      </c>
      <c r="D16" s="51" t="n">
        <f aca="false">Project_CF!C8/(1+D$14)^0+Project_CF!D8*(1+$B16*0.05)/(1+D$14)^1+Project_CF!E8*(1+$B16*0.05)/(1+D$14)^2+Project_CF!F8*(1+$B16*0.05)/(1+D$14)^3+Project_CF!G8*(1+$B16*0.05)/(1+D$14)^4+Project_CF!H8*(1+$B16*0.05)/(1+D$14)^5+Project_CF!I8*(1+$B16*0.05)/(1+D$14)^6+Project_CF!J8*(1+$B16*0.05)/(1+D$14)^7+Project_CF!K8*(1+$B16*0.05)/(1+D$14)^8+Project_CF!L8*(1+$B16*0.05)/(1+D$14)^9+Project_CF!M8*(1+$B16*0.05)/(1+D$14)^10</f>
        <v>768.842956044318</v>
      </c>
      <c r="E16" s="51" t="n">
        <f aca="false">Project_CF!C8/(1+E$14)^0+Project_CF!D8*(1+$B16*0.05)/(1+E$14)^1+Project_CF!E8*(1+$B16*0.05)/(1+E$14)^2+Project_CF!F8*(1+$B16*0.05)/(1+E$14)^3+Project_CF!G8*(1+$B16*0.05)/(1+E$14)^4+Project_CF!H8*(1+$B16*0.05)/(1+E$14)^5+Project_CF!I8*(1+$B16*0.05)/(1+E$14)^6+Project_CF!J8*(1+$B16*0.05)/(1+E$14)^7+Project_CF!K8*(1+$B16*0.05)/(1+E$14)^8+Project_CF!L8*(1+$B16*0.05)/(1+E$14)^9+Project_CF!M8*(1+$B16*0.05)/(1+E$14)^10</f>
        <v>716.799828636334</v>
      </c>
      <c r="F16" s="51" t="n">
        <f aca="false">Project_CF!C8/(1+F$14)^0+Project_CF!D8*(1+$B16*0.05)/(1+F$14)^1+Project_CF!E8*(1+$B16*0.05)/(1+F$14)^2+Project_CF!F8*(1+$B16*0.05)/(1+F$14)^3+Project_CF!G8*(1+$B16*0.05)/(1+F$14)^4+Project_CF!H8*(1+$B16*0.05)/(1+F$14)^5+Project_CF!I8*(1+$B16*0.05)/(1+F$14)^6+Project_CF!J8*(1+$B16*0.05)/(1+F$14)^7+Project_CF!K8*(1+$B16*0.05)/(1+F$14)^8+Project_CF!L8*(1+$B16*0.05)/(1+F$14)^9+Project_CF!M8*(1+$B16*0.05)/(1+F$14)^10</f>
        <v>668.259675930777</v>
      </c>
      <c r="G16" s="51" t="n">
        <f aca="false">Project_CF!C8/(1+G$14)^0+Project_CF!D8*(1+$B16*0.05)/(1+G$14)^1+Project_CF!E8*(1+$B16*0.05)/(1+G$14)^2+Project_CF!F8*(1+$B16*0.05)/(1+G$14)^3+Project_CF!G8*(1+$B16*0.05)/(1+G$14)^4+Project_CF!H8*(1+$B16*0.05)/(1+G$14)^5+Project_CF!I8*(1+$B16*0.05)/(1+G$14)^6+Project_CF!J8*(1+$B16*0.05)/(1+G$14)^7+Project_CF!K8*(1+$B16*0.05)/(1+G$14)^8+Project_CF!L8*(1+$B16*0.05)/(1+G$14)^9+Project_CF!M8*(1+$B16*0.05)/(1+G$14)^10</f>
        <v>622.931694157397</v>
      </c>
      <c r="H16" s="51" t="n">
        <f aca="false">Project_CF!C8/(1+H$14)^0+Project_CF!D8*(1+$B16*0.05)/(1+H$14)^1+Project_CF!E8*(1+$B16*0.05)/(1+H$14)^2+Project_CF!F8*(1+$B16*0.05)/(1+H$14)^3+Project_CF!G8*(1+$B16*0.05)/(1+H$14)^4+Project_CF!H8*(1+$B16*0.05)/(1+H$14)^5+Project_CF!I8*(1+$B16*0.05)/(1+H$14)^6+Project_CF!J8*(1+$B16*0.05)/(1+H$14)^7+Project_CF!K8*(1+$B16*0.05)/(1+H$14)^8+Project_CF!L8*(1+$B16*0.05)/(1+H$14)^9+Project_CF!M8*(1+$B16*0.05)/(1+H$14)^10</f>
        <v>580.552867751263</v>
      </c>
      <c r="I16" s="51" t="n">
        <f aca="false">Project_CF!C8/(1+I$14)^0+Project_CF!D8*(1+$B16*0.05)/(1+I$14)^1+Project_CF!E8*(1+$B16*0.05)/(1+I$14)^2+Project_CF!F8*(1+$B16*0.05)/(1+I$14)^3+Project_CF!G8*(1+$B16*0.05)/(1+I$14)^4+Project_CF!H8*(1+$B16*0.05)/(1+I$14)^5+Project_CF!I8*(1+$B16*0.05)/(1+I$14)^6+Project_CF!J8*(1+$B16*0.05)/(1+I$14)^7+Project_CF!K8*(1+$B16*0.05)/(1+I$14)^8+Project_CF!L8*(1+$B16*0.05)/(1+I$14)^9+Project_CF!M8*(1+$B16*0.05)/(1+I$14)^10</f>
        <v>540.885012922216</v>
      </c>
      <c r="J16" s="51" t="n">
        <f aca="false">Project_CF!C8/(1+J$14)^0+Project_CF!D8*(1+$B16*0.05)/(1+J$14)^1+Project_CF!E8*(1+$B16*0.05)/(1+J$14)^2+Project_CF!F8*(1+$B16*0.05)/(1+J$14)^3+Project_CF!G8*(1+$B16*0.05)/(1+J$14)^4+Project_CF!H8*(1+$B16*0.05)/(1+J$14)^5+Project_CF!I8*(1+$B16*0.05)/(1+J$14)^6+Project_CF!J8*(1+$B16*0.05)/(1+J$14)^7+Project_CF!K8*(1+$B16*0.05)/(1+J$14)^8+Project_CF!L8*(1+$B16*0.05)/(1+J$14)^9+Project_CF!M8*(1+$B16*0.05)/(1+J$14)^10</f>
        <v>503.712164713531</v>
      </c>
      <c r="K16" s="51" t="n">
        <f aca="false">Project_CF!C8/(1+K$14)^0+Project_CF!D8*(1+$B16*0.05)/(1+K$14)^1+Project_CF!E8*(1+$B16*0.05)/(1+K$14)^2+Project_CF!F8*(1+$B16*0.05)/(1+K$14)^3+Project_CF!G8*(1+$B16*0.05)/(1+K$14)^4+Project_CF!H8*(1+$B16*0.05)/(1+K$14)^5+Project_CF!I8*(1+$B16*0.05)/(1+K$14)^6+Project_CF!J8*(1+$B16*0.05)/(1+K$14)^7+Project_CF!K8*(1+$B16*0.05)/(1+K$14)^8+Project_CF!L8*(1+$B16*0.05)/(1+K$14)^9+Project_CF!M8*(1+$B16*0.05)/(1+K$14)^10</f>
        <v>468.838264519249</v>
      </c>
      <c r="L16" s="51" t="n">
        <f aca="false">Project_CF!C8/(1+L$14)^0+Project_CF!D8*(1+$B16*0.05)/(1+L$14)^1+Project_CF!E8*(1+$B16*0.05)/(1+L$14)^2+Project_CF!F8*(1+$B16*0.05)/(1+L$14)^3+Project_CF!G8*(1+$B16*0.05)/(1+L$14)^4+Project_CF!H8*(1+$B16*0.05)/(1+L$14)^5+Project_CF!I8*(1+$B16*0.05)/(1+L$14)^6+Project_CF!J8*(1+$B16*0.05)/(1+L$14)^7+Project_CF!K8*(1+$B16*0.05)/(1+L$14)^8+Project_CF!L8*(1+$B16*0.05)/(1+L$14)^9+Project_CF!M8*(1+$B16*0.05)/(1+L$14)^10</f>
        <v>436.085110789578</v>
      </c>
      <c r="M16" s="51" t="n">
        <f aca="false">Project_CF!C8/(1+M$14)^0+Project_CF!D8*(1+$B16*0.05)/(1+M$14)^1+Project_CF!E8*(1+$B16*0.05)/(1+M$14)^2+Project_CF!F8*(1+$B16*0.05)/(1+M$14)^3+Project_CF!G8*(1+$B16*0.05)/(1+M$14)^4+Project_CF!H8*(1+$B16*0.05)/(1+M$14)^5+Project_CF!I8*(1+$B16*0.05)/(1+M$14)^6+Project_CF!J8*(1+$B16*0.05)/(1+M$14)^7+Project_CF!K8*(1+$B16*0.05)/(1+M$14)^8+Project_CF!L8*(1+$B16*0.05)/(1+M$14)^9+Project_CF!M8*(1+$B16*0.05)/(1+M$14)^10</f>
        <v>405.290540595643</v>
      </c>
    </row>
    <row r="17" customFormat="false" ht="15" hidden="false" customHeight="false" outlineLevel="0" collapsed="false">
      <c r="B17" s="50" t="n">
        <v>-1</v>
      </c>
      <c r="C17" s="51" t="n">
        <f aca="false">Project_CF!C8/(1+C$14)^0+Project_CF!D8*(1+$B17*0.05)/(1+C$14)^1+Project_CF!E8*(1+$B17*0.05)/(1+C$14)^2+Project_CF!F8*(1+$B17*0.05)/(1+C$14)^3+Project_CF!G8*(1+$B17*0.05)/(1+C$14)^4+Project_CF!H8*(1+$B17*0.05)/(1+C$14)^5+Project_CF!I8*(1+$B17*0.05)/(1+C$14)^6+Project_CF!J8*(1+$B17*0.05)/(1+C$14)^7+Project_CF!K8*(1+$B17*0.05)/(1+C$14)^8+Project_CF!L8*(1+$B17*0.05)/(1+C$14)^9+Project_CF!M8*(1+$B17*0.05)/(1+C$14)^10</f>
        <v>857.811297096768</v>
      </c>
      <c r="D17" s="51" t="n">
        <f aca="false">Project_CF!C8/(1+D$14)^0+Project_CF!D8*(1+$B17*0.05)/(1+D$14)^1+Project_CF!E8*(1+$B17*0.05)/(1+D$14)^2+Project_CF!F8*(1+$B17*0.05)/(1+D$14)^3+Project_CF!G8*(1+$B17*0.05)/(1+D$14)^4+Project_CF!H8*(1+$B17*0.05)/(1+D$14)^5+Project_CF!I8*(1+$B17*0.05)/(1+D$14)^6+Project_CF!J8*(1+$B17*0.05)/(1+D$14)^7+Project_CF!K8*(1+$B17*0.05)/(1+D$14)^8+Project_CF!L8*(1+$B17*0.05)/(1+D$14)^9+Project_CF!M8*(1+$B17*0.05)/(1+D$14)^10</f>
        <v>800.433306207677</v>
      </c>
      <c r="E17" s="51" t="n">
        <f aca="false">Project_CF!C8/(1+E$14)^0+Project_CF!D8*(1+$B17*0.05)/(1+E$14)^1+Project_CF!E8*(1+$B17*0.05)/(1+E$14)^2+Project_CF!F8*(1+$B17*0.05)/(1+E$14)^3+Project_CF!G8*(1+$B17*0.05)/(1+E$14)^4+Project_CF!H8*(1+$B17*0.05)/(1+E$14)^5+Project_CF!I8*(1+$B17*0.05)/(1+E$14)^6+Project_CF!J8*(1+$B17*0.05)/(1+E$14)^7+Project_CF!K8*(1+$B17*0.05)/(1+E$14)^8+Project_CF!L8*(1+$B17*0.05)/(1+E$14)^9+Project_CF!M8*(1+$B17*0.05)/(1+E$14)^10</f>
        <v>746.983607788668</v>
      </c>
      <c r="F17" s="51" t="n">
        <f aca="false">Project_CF!C8/(1+F$14)^0+Project_CF!D8*(1+$B17*0.05)/(1+F$14)^1+Project_CF!E8*(1+$B17*0.05)/(1+F$14)^2+Project_CF!F8*(1+$B17*0.05)/(1+F$14)^3+Project_CF!G8*(1+$B17*0.05)/(1+F$14)^4+Project_CF!H8*(1+$B17*0.05)/(1+F$14)^5+Project_CF!I8*(1+$B17*0.05)/(1+F$14)^6+Project_CF!J8*(1+$B17*0.05)/(1+F$14)^7+Project_CF!K8*(1+$B17*0.05)/(1+F$14)^8+Project_CF!L8*(1+$B17*0.05)/(1+F$14)^9+Project_CF!M8*(1+$B17*0.05)/(1+F$14)^10</f>
        <v>697.131559064041</v>
      </c>
      <c r="G17" s="51" t="n">
        <f aca="false">Project_CF!C8/(1+G$14)^0+Project_CF!D8*(1+$B17*0.05)/(1+G$14)^1+Project_CF!E8*(1+$B17*0.05)/(1+G$14)^2+Project_CF!F8*(1+$B17*0.05)/(1+G$14)^3+Project_CF!G8*(1+$B17*0.05)/(1+G$14)^4+Project_CF!H8*(1+$B17*0.05)/(1+G$14)^5+Project_CF!I8*(1+$B17*0.05)/(1+G$14)^6+Project_CF!J8*(1+$B17*0.05)/(1+G$14)^7+Project_CF!K8*(1+$B17*0.05)/(1+G$14)^8+Project_CF!L8*(1+$B17*0.05)/(1+G$14)^9+Project_CF!M8*(1+$B17*0.05)/(1+G$14)^10</f>
        <v>650.578496702191</v>
      </c>
      <c r="H17" s="51" t="n">
        <f aca="false">Project_CF!C8/(1+H$14)^0+Project_CF!D8*(1+$B17*0.05)/(1+H$14)^1+Project_CF!E8*(1+$B17*0.05)/(1+H$14)^2+Project_CF!F8*(1+$B17*0.05)/(1+H$14)^3+Project_CF!G8*(1+$B17*0.05)/(1+H$14)^4+Project_CF!H8*(1+$B17*0.05)/(1+H$14)^5+Project_CF!I8*(1+$B17*0.05)/(1+H$14)^6+Project_CF!J8*(1+$B17*0.05)/(1+H$14)^7+Project_CF!K8*(1+$B17*0.05)/(1+H$14)^8+Project_CF!L8*(1+$B17*0.05)/(1+H$14)^9+Project_CF!M8*(1+$B17*0.05)/(1+H$14)^10</f>
        <v>607.054296609406</v>
      </c>
      <c r="I17" s="51" t="n">
        <f aca="false">Project_CF!C8/(1+I$14)^0+Project_CF!D8*(1+$B17*0.05)/(1+I$14)^1+Project_CF!E8*(1+$B17*0.05)/(1+I$14)^2+Project_CF!F8*(1+$B17*0.05)/(1+I$14)^3+Project_CF!G8*(1+$B17*0.05)/(1+I$14)^4+Project_CF!H8*(1+$B17*0.05)/(1+I$14)^5+Project_CF!I8*(1+$B17*0.05)/(1+I$14)^6+Project_CF!J8*(1+$B17*0.05)/(1+I$14)^7+Project_CF!K8*(1+$B17*0.05)/(1+I$14)^8+Project_CF!L8*(1+$B17*0.05)/(1+I$14)^9+Project_CF!M8*(1+$B17*0.05)/(1+I$14)^10</f>
        <v>566.314337595789</v>
      </c>
      <c r="J17" s="51" t="n">
        <f aca="false">Project_CF!C8/(1+J$14)^0+Project_CF!D8*(1+$B17*0.05)/(1+J$14)^1+Project_CF!E8*(1+$B17*0.05)/(1+J$14)^2+Project_CF!F8*(1+$B17*0.05)/(1+J$14)^3+Project_CF!G8*(1+$B17*0.05)/(1+J$14)^4+Project_CF!H8*(1+$B17*0.05)/(1+J$14)^5+Project_CF!I8*(1+$B17*0.05)/(1+J$14)^6+Project_CF!J8*(1+$B17*0.05)/(1+J$14)^7+Project_CF!K8*(1+$B17*0.05)/(1+J$14)^8+Project_CF!L8*(1+$B17*0.05)/(1+J$14)^9+Project_CF!M8*(1+$B17*0.05)/(1+J$14)^10</f>
        <v>528.136817813897</v>
      </c>
      <c r="K17" s="51" t="n">
        <f aca="false">Project_CF!C8/(1+K$14)^0+Project_CF!D8*(1+$B17*0.05)/(1+K$14)^1+Project_CF!E8*(1+$B17*0.05)/(1+K$14)^2+Project_CF!F8*(1+$B17*0.05)/(1+K$14)^3+Project_CF!G8*(1+$B17*0.05)/(1+K$14)^4+Project_CF!H8*(1+$B17*0.05)/(1+K$14)^5+Project_CF!I8*(1+$B17*0.05)/(1+K$14)^6+Project_CF!J8*(1+$B17*0.05)/(1+K$14)^7+Project_CF!K8*(1+$B17*0.05)/(1+K$14)^8+Project_CF!L8*(1+$B17*0.05)/(1+K$14)^9+Project_CF!M8*(1+$B17*0.05)/(1+K$14)^10</f>
        <v>492.320379776526</v>
      </c>
      <c r="L17" s="51" t="n">
        <f aca="false">Project_CF!C8/(1+L$14)^0+Project_CF!D8*(1+$B17*0.05)/(1+L$14)^1+Project_CF!E8*(1+$B17*0.05)/(1+L$14)^2+Project_CF!F8*(1+$B17*0.05)/(1+L$14)^3+Project_CF!G8*(1+$B17*0.05)/(1+L$14)^4+Project_CF!H8*(1+$B17*0.05)/(1+L$14)^5+Project_CF!I8*(1+$B17*0.05)/(1+L$14)^6+Project_CF!J8*(1+$B17*0.05)/(1+L$14)^7+Project_CF!K8*(1+$B17*0.05)/(1+L$14)^8+Project_CF!L8*(1+$B17*0.05)/(1+L$14)^9+Project_CF!M8*(1+$B17*0.05)/(1+L$14)^10</f>
        <v>458.682005675783</v>
      </c>
      <c r="M17" s="51" t="n">
        <f aca="false">Project_CF!C8/(1+M$14)^0+Project_CF!D8*(1+$B17*0.05)/(1+M$14)^1+Project_CF!E8*(1+$B17*0.05)/(1+M$14)^2+Project_CF!F8*(1+$B17*0.05)/(1+M$14)^3+Project_CF!G8*(1+$B17*0.05)/(1+M$14)^4+Project_CF!H8*(1+$B17*0.05)/(1+M$14)^5+Project_CF!I8*(1+$B17*0.05)/(1+M$14)^6+Project_CF!J8*(1+$B17*0.05)/(1+M$14)^7+Project_CF!K8*(1+$B17*0.05)/(1+M$14)^8+Project_CF!L8*(1+$B17*0.05)/(1+M$14)^9+Project_CF!M8*(1+$B17*0.05)/(1+M$14)^10</f>
        <v>427.05514980093</v>
      </c>
    </row>
    <row r="18" customFormat="false" ht="15" hidden="false" customHeight="false" outlineLevel="0" collapsed="false">
      <c r="B18" s="50" t="n">
        <v>-0.5</v>
      </c>
      <c r="C18" s="51" t="n">
        <f aca="false">Project_CF!C8/(1+C$14)^0+Project_CF!D8*(1+$B18*0.05)/(1+C$14)^1+Project_CF!E8*(1+$B18*0.05)/(1+C$14)^2+Project_CF!F8*(1+$B18*0.05)/(1+C$14)^3+Project_CF!G8*(1+$B18*0.05)/(1+C$14)^4+Project_CF!H8*(1+$B18*0.05)/(1+C$14)^5+Project_CF!I8*(1+$B18*0.05)/(1+C$14)^6+Project_CF!J8*(1+$B18*0.05)/(1+C$14)^7+Project_CF!K8*(1+$B18*0.05)/(1+C$14)^8+Project_CF!L8*(1+$B18*0.05)/(1+C$14)^9+Project_CF!M8*(1+$B18*0.05)/(1+C$14)^10</f>
        <v>890.911594388788</v>
      </c>
      <c r="D18" s="51" t="n">
        <f aca="false">Project_CF!C8/(1+D$14)^0+Project_CF!D8*(1+$B18*0.05)/(1+D$14)^1+Project_CF!E8*(1+$B18*0.05)/(1+D$14)^2+Project_CF!F8*(1+$B18*0.05)/(1+D$14)^3+Project_CF!G8*(1+$B18*0.05)/(1+D$14)^4+Project_CF!H8*(1+$B18*0.05)/(1+D$14)^5+Project_CF!I8*(1+$B18*0.05)/(1+D$14)^6+Project_CF!J8*(1+$B18*0.05)/(1+D$14)^7+Project_CF!K8*(1+$B18*0.05)/(1+D$14)^8+Project_CF!L8*(1+$B18*0.05)/(1+D$14)^9+Project_CF!M8*(1+$B18*0.05)/(1+D$14)^10</f>
        <v>832.023656371037</v>
      </c>
      <c r="E18" s="51" t="n">
        <f aca="false">Project_CF!C8/(1+E$14)^0+Project_CF!D8*(1+$B18*0.05)/(1+E$14)^1+Project_CF!E8*(1+$B18*0.05)/(1+E$14)^2+Project_CF!F8*(1+$B18*0.05)/(1+E$14)^3+Project_CF!G8*(1+$B18*0.05)/(1+E$14)^4+Project_CF!H8*(1+$B18*0.05)/(1+E$14)^5+Project_CF!I8*(1+$B18*0.05)/(1+E$14)^6+Project_CF!J8*(1+$B18*0.05)/(1+E$14)^7+Project_CF!K8*(1+$B18*0.05)/(1+E$14)^8+Project_CF!L8*(1+$B18*0.05)/(1+E$14)^9+Project_CF!M8*(1+$B18*0.05)/(1+E$14)^10</f>
        <v>777.167386941001</v>
      </c>
      <c r="F18" s="51" t="n">
        <f aca="false">Project_CF!C8/(1+F$14)^0+Project_CF!D8*(1+$B18*0.05)/(1+F$14)^1+Project_CF!E8*(1+$B18*0.05)/(1+F$14)^2+Project_CF!F8*(1+$B18*0.05)/(1+F$14)^3+Project_CF!G8*(1+$B18*0.05)/(1+F$14)^4+Project_CF!H8*(1+$B18*0.05)/(1+F$14)^5+Project_CF!I8*(1+$B18*0.05)/(1+F$14)^6+Project_CF!J8*(1+$B18*0.05)/(1+F$14)^7+Project_CF!K8*(1+$B18*0.05)/(1+F$14)^8+Project_CF!L8*(1+$B18*0.05)/(1+F$14)^9+Project_CF!M8*(1+$B18*0.05)/(1+F$14)^10</f>
        <v>726.003442197305</v>
      </c>
      <c r="G18" s="51" t="n">
        <f aca="false">Project_CF!C8/(1+G$14)^0+Project_CF!D8*(1+$B18*0.05)/(1+G$14)^1+Project_CF!E8*(1+$B18*0.05)/(1+G$14)^2+Project_CF!F8*(1+$B18*0.05)/(1+G$14)^3+Project_CF!G8*(1+$B18*0.05)/(1+G$14)^4+Project_CF!H8*(1+$B18*0.05)/(1+G$14)^5+Project_CF!I8*(1+$B18*0.05)/(1+G$14)^6+Project_CF!J8*(1+$B18*0.05)/(1+G$14)^7+Project_CF!K8*(1+$B18*0.05)/(1+G$14)^8+Project_CF!L8*(1+$B18*0.05)/(1+G$14)^9+Project_CF!M8*(1+$B18*0.05)/(1+G$14)^10</f>
        <v>678.225299246986</v>
      </c>
      <c r="H18" s="51" t="n">
        <f aca="false">Project_CF!C8/(1+H$14)^0+Project_CF!D8*(1+$B18*0.05)/(1+H$14)^1+Project_CF!E8*(1+$B18*0.05)/(1+H$14)^2+Project_CF!F8*(1+$B18*0.05)/(1+H$14)^3+Project_CF!G8*(1+$B18*0.05)/(1+H$14)^4+Project_CF!H8*(1+$B18*0.05)/(1+H$14)^5+Project_CF!I8*(1+$B18*0.05)/(1+H$14)^6+Project_CF!J8*(1+$B18*0.05)/(1+H$14)^7+Project_CF!K8*(1+$B18*0.05)/(1+H$14)^8+Project_CF!L8*(1+$B18*0.05)/(1+H$14)^9+Project_CF!M8*(1+$B18*0.05)/(1+H$14)^10</f>
        <v>633.555725467548</v>
      </c>
      <c r="I18" s="51" t="n">
        <f aca="false">Project_CF!C8/(1+I$14)^0+Project_CF!D8*(1+$B18*0.05)/(1+I$14)^1+Project_CF!E8*(1+$B18*0.05)/(1+I$14)^2+Project_CF!F8*(1+$B18*0.05)/(1+I$14)^3+Project_CF!G8*(1+$B18*0.05)/(1+I$14)^4+Project_CF!H8*(1+$B18*0.05)/(1+I$14)^5+Project_CF!I8*(1+$B18*0.05)/(1+I$14)^6+Project_CF!J8*(1+$B18*0.05)/(1+I$14)^7+Project_CF!K8*(1+$B18*0.05)/(1+I$14)^8+Project_CF!L8*(1+$B18*0.05)/(1+I$14)^9+Project_CF!M8*(1+$B18*0.05)/(1+I$14)^10</f>
        <v>591.743662269362</v>
      </c>
      <c r="J18" s="51" t="n">
        <f aca="false">Project_CF!C8/(1+J$14)^0+Project_CF!D8*(1+$B18*0.05)/(1+J$14)^1+Project_CF!E8*(1+$B18*0.05)/(1+J$14)^2+Project_CF!F8*(1+$B18*0.05)/(1+J$14)^3+Project_CF!G8*(1+$B18*0.05)/(1+J$14)^4+Project_CF!H8*(1+$B18*0.05)/(1+J$14)^5+Project_CF!I8*(1+$B18*0.05)/(1+J$14)^6+Project_CF!J8*(1+$B18*0.05)/(1+J$14)^7+Project_CF!K8*(1+$B18*0.05)/(1+J$14)^8+Project_CF!L8*(1+$B18*0.05)/(1+J$14)^9+Project_CF!M8*(1+$B18*0.05)/(1+J$14)^10</f>
        <v>552.561470914262</v>
      </c>
      <c r="K18" s="51" t="n">
        <f aca="false">Project_CF!C8/(1+K$14)^0+Project_CF!D8*(1+$B18*0.05)/(1+K$14)^1+Project_CF!E8*(1+$B18*0.05)/(1+K$14)^2+Project_CF!F8*(1+$B18*0.05)/(1+K$14)^3+Project_CF!G8*(1+$B18*0.05)/(1+K$14)^4+Project_CF!H8*(1+$B18*0.05)/(1+K$14)^5+Project_CF!I8*(1+$B18*0.05)/(1+K$14)^6+Project_CF!J8*(1+$B18*0.05)/(1+K$14)^7+Project_CF!K8*(1+$B18*0.05)/(1+K$14)^8+Project_CF!L8*(1+$B18*0.05)/(1+K$14)^9+Project_CF!M8*(1+$B18*0.05)/(1+K$14)^10</f>
        <v>515.802495033803</v>
      </c>
      <c r="L18" s="51" t="n">
        <f aca="false">Project_CF!C8/(1+L$14)^0+Project_CF!D8*(1+$B18*0.05)/(1+L$14)^1+Project_CF!E8*(1+$B18*0.05)/(1+L$14)^2+Project_CF!F8*(1+$B18*0.05)/(1+L$14)^3+Project_CF!G8*(1+$B18*0.05)/(1+L$14)^4+Project_CF!H8*(1+$B18*0.05)/(1+L$14)^5+Project_CF!I8*(1+$B18*0.05)/(1+L$14)^6+Project_CF!J8*(1+$B18*0.05)/(1+L$14)^7+Project_CF!K8*(1+$B18*0.05)/(1+L$14)^8+Project_CF!L8*(1+$B18*0.05)/(1+L$14)^9+Project_CF!M8*(1+$B18*0.05)/(1+L$14)^10</f>
        <v>481.278900561988</v>
      </c>
      <c r="M18" s="51" t="n">
        <f aca="false">Project_CF!C8/(1+M$14)^0+Project_CF!D8*(1+$B18*0.05)/(1+M$14)^1+Project_CF!E8*(1+$B18*0.05)/(1+M$14)^2+Project_CF!F8*(1+$B18*0.05)/(1+M$14)^3+Project_CF!G8*(1+$B18*0.05)/(1+M$14)^4+Project_CF!H8*(1+$B18*0.05)/(1+M$14)^5+Project_CF!I8*(1+$B18*0.05)/(1+M$14)^6+Project_CF!J8*(1+$B18*0.05)/(1+M$14)^7+Project_CF!K8*(1+$B18*0.05)/(1+M$14)^8+Project_CF!L8*(1+$B18*0.05)/(1+M$14)^9+Project_CF!M8*(1+$B18*0.05)/(1+M$14)^10</f>
        <v>448.819759006218</v>
      </c>
    </row>
    <row r="19" customFormat="false" ht="15" hidden="false" customHeight="false" outlineLevel="0" collapsed="false">
      <c r="B19" s="50" t="n">
        <v>0</v>
      </c>
      <c r="C19" s="51" t="n">
        <f aca="false">Project_CF!C8/(1+C$14)^0+Project_CF!D8*(1+$B19*0.05)/(1+C$14)^1+Project_CF!E8*(1+$B19*0.05)/(1+C$14)^2+Project_CF!F8*(1+$B19*0.05)/(1+C$14)^3+Project_CF!G8*(1+$B19*0.05)/(1+C$14)^4+Project_CF!H8*(1+$B19*0.05)/(1+C$14)^5+Project_CF!I8*(1+$B19*0.05)/(1+C$14)^6+Project_CF!J8*(1+$B19*0.05)/(1+C$14)^7+Project_CF!K8*(1+$B19*0.05)/(1+C$14)^8+Project_CF!L8*(1+$B19*0.05)/(1+C$14)^9+Project_CF!M8*(1+$B19*0.05)/(1+C$14)^10</f>
        <v>924.011891680808</v>
      </c>
      <c r="D19" s="51" t="n">
        <f aca="false">Project_CF!C8/(1+D$14)^0+Project_CF!D8*(1+$B19*0.05)/(1+D$14)^1+Project_CF!E8*(1+$B19*0.05)/(1+D$14)^2+Project_CF!F8*(1+$B19*0.05)/(1+D$14)^3+Project_CF!G8*(1+$B19*0.05)/(1+D$14)^4+Project_CF!H8*(1+$B19*0.05)/(1+D$14)^5+Project_CF!I8*(1+$B19*0.05)/(1+D$14)^6+Project_CF!J8*(1+$B19*0.05)/(1+D$14)^7+Project_CF!K8*(1+$B19*0.05)/(1+D$14)^8+Project_CF!L8*(1+$B19*0.05)/(1+D$14)^9+Project_CF!M8*(1+$B19*0.05)/(1+D$14)^10</f>
        <v>863.614006534397</v>
      </c>
      <c r="E19" s="51" t="n">
        <f aca="false">Project_CF!C8/(1+E$14)^0+Project_CF!D8*(1+$B19*0.05)/(1+E$14)^1+Project_CF!E8*(1+$B19*0.05)/(1+E$14)^2+Project_CF!F8*(1+$B19*0.05)/(1+E$14)^3+Project_CF!G8*(1+$B19*0.05)/(1+E$14)^4+Project_CF!H8*(1+$B19*0.05)/(1+E$14)^5+Project_CF!I8*(1+$B19*0.05)/(1+E$14)^6+Project_CF!J8*(1+$B19*0.05)/(1+E$14)^7+Project_CF!K8*(1+$B19*0.05)/(1+E$14)^8+Project_CF!L8*(1+$B19*0.05)/(1+E$14)^9+Project_CF!M8*(1+$B19*0.05)/(1+E$14)^10</f>
        <v>807.351166093334</v>
      </c>
      <c r="F19" s="51" t="n">
        <f aca="false">Project_CF!C8/(1+F$14)^0+Project_CF!D8*(1+$B19*0.05)/(1+F$14)^1+Project_CF!E8*(1+$B19*0.05)/(1+F$14)^2+Project_CF!F8*(1+$B19*0.05)/(1+F$14)^3+Project_CF!G8*(1+$B19*0.05)/(1+F$14)^4+Project_CF!H8*(1+$B19*0.05)/(1+F$14)^5+Project_CF!I8*(1+$B19*0.05)/(1+F$14)^6+Project_CF!J8*(1+$B19*0.05)/(1+F$14)^7+Project_CF!K8*(1+$B19*0.05)/(1+F$14)^8+Project_CF!L8*(1+$B19*0.05)/(1+F$14)^9+Project_CF!M8*(1+$B19*0.05)/(1+F$14)^10</f>
        <v>754.87532533057</v>
      </c>
      <c r="G19" s="51" t="n">
        <f aca="false">Project_CF!C8/(1+G$14)^0+Project_CF!D8*(1+$B19*0.05)/(1+G$14)^1+Project_CF!E8*(1+$B19*0.05)/(1+G$14)^2+Project_CF!F8*(1+$B19*0.05)/(1+G$14)^3+Project_CF!G8*(1+$B19*0.05)/(1+G$14)^4+Project_CF!H8*(1+$B19*0.05)/(1+G$14)^5+Project_CF!I8*(1+$B19*0.05)/(1+G$14)^6+Project_CF!J8*(1+$B19*0.05)/(1+G$14)^7+Project_CF!K8*(1+$B19*0.05)/(1+G$14)^8+Project_CF!L8*(1+$B19*0.05)/(1+G$14)^9+Project_CF!M8*(1+$B19*0.05)/(1+G$14)^10</f>
        <v>705.87210179178</v>
      </c>
      <c r="H19" s="51" t="n">
        <f aca="false">Project_CF!C8/(1+H$14)^0+Project_CF!D8*(1+$B19*0.05)/(1+H$14)^1+Project_CF!E8*(1+$B19*0.05)/(1+H$14)^2+Project_CF!F8*(1+$B19*0.05)/(1+H$14)^3+Project_CF!G8*(1+$B19*0.05)/(1+H$14)^4+Project_CF!H8*(1+$B19*0.05)/(1+H$14)^5+Project_CF!I8*(1+$B19*0.05)/(1+H$14)^6+Project_CF!J8*(1+$B19*0.05)/(1+H$14)^7+Project_CF!K8*(1+$B19*0.05)/(1+H$14)^8+Project_CF!L8*(1+$B19*0.05)/(1+H$14)^9+Project_CF!M8*(1+$B19*0.05)/(1+H$14)^10</f>
        <v>660.05715432569</v>
      </c>
      <c r="I19" s="51" t="n">
        <f aca="false">Project_CF!C8/(1+I$14)^0+Project_CF!D8*(1+$B19*0.05)/(1+I$14)^1+Project_CF!E8*(1+$B19*0.05)/(1+I$14)^2+Project_CF!F8*(1+$B19*0.05)/(1+I$14)^3+Project_CF!G8*(1+$B19*0.05)/(1+I$14)^4+Project_CF!H8*(1+$B19*0.05)/(1+I$14)^5+Project_CF!I8*(1+$B19*0.05)/(1+I$14)^6+Project_CF!J8*(1+$B19*0.05)/(1+I$14)^7+Project_CF!K8*(1+$B19*0.05)/(1+I$14)^8+Project_CF!L8*(1+$B19*0.05)/(1+I$14)^9+Project_CF!M8*(1+$B19*0.05)/(1+I$14)^10</f>
        <v>617.172986942936</v>
      </c>
      <c r="J19" s="51" t="n">
        <f aca="false">Project_CF!C8/(1+J$14)^0+Project_CF!D8*(1+$B19*0.05)/(1+J$14)^1+Project_CF!E8*(1+$B19*0.05)/(1+J$14)^2+Project_CF!F8*(1+$B19*0.05)/(1+J$14)^3+Project_CF!G8*(1+$B19*0.05)/(1+J$14)^4+Project_CF!H8*(1+$B19*0.05)/(1+J$14)^5+Project_CF!I8*(1+$B19*0.05)/(1+J$14)^6+Project_CF!J8*(1+$B19*0.05)/(1+J$14)^7+Project_CF!K8*(1+$B19*0.05)/(1+J$14)^8+Project_CF!L8*(1+$B19*0.05)/(1+J$14)^9+Project_CF!M8*(1+$B19*0.05)/(1+J$14)^10</f>
        <v>576.986124014628</v>
      </c>
      <c r="K19" s="51" t="n">
        <f aca="false">Project_CF!C8/(1+K$14)^0+Project_CF!D8*(1+$B19*0.05)/(1+K$14)^1+Project_CF!E8*(1+$B19*0.05)/(1+K$14)^2+Project_CF!F8*(1+$B19*0.05)/(1+K$14)^3+Project_CF!G8*(1+$B19*0.05)/(1+K$14)^4+Project_CF!H8*(1+$B19*0.05)/(1+K$14)^5+Project_CF!I8*(1+$B19*0.05)/(1+K$14)^6+Project_CF!J8*(1+$B19*0.05)/(1+K$14)^7+Project_CF!K8*(1+$B19*0.05)/(1+K$14)^8+Project_CF!L8*(1+$B19*0.05)/(1+K$14)^9+Project_CF!M8*(1+$B19*0.05)/(1+K$14)^10</f>
        <v>539.28461029108</v>
      </c>
      <c r="L19" s="51" t="n">
        <f aca="false">Project_CF!C8/(1+L$14)^0+Project_CF!D8*(1+$B19*0.05)/(1+L$14)^1+Project_CF!E8*(1+$B19*0.05)/(1+L$14)^2+Project_CF!F8*(1+$B19*0.05)/(1+L$14)^3+Project_CF!G8*(1+$B19*0.05)/(1+L$14)^4+Project_CF!H8*(1+$B19*0.05)/(1+L$14)^5+Project_CF!I8*(1+$B19*0.05)/(1+L$14)^6+Project_CF!J8*(1+$B19*0.05)/(1+L$14)^7+Project_CF!K8*(1+$B19*0.05)/(1+L$14)^8+Project_CF!L8*(1+$B19*0.05)/(1+L$14)^9+Project_CF!M8*(1+$B19*0.05)/(1+L$14)^10</f>
        <v>503.875795448193</v>
      </c>
      <c r="M19" s="51" t="n">
        <f aca="false">Project_CF!C8/(1+M$14)^0+Project_CF!D8*(1+$B19*0.05)/(1+M$14)^1+Project_CF!E8*(1+$B19*0.05)/(1+M$14)^2+Project_CF!F8*(1+$B19*0.05)/(1+M$14)^3+Project_CF!G8*(1+$B19*0.05)/(1+M$14)^4+Project_CF!H8*(1+$B19*0.05)/(1+M$14)^5+Project_CF!I8*(1+$B19*0.05)/(1+M$14)^6+Project_CF!J8*(1+$B19*0.05)/(1+M$14)^7+Project_CF!K8*(1+$B19*0.05)/(1+M$14)^8+Project_CF!L8*(1+$B19*0.05)/(1+M$14)^9+Project_CF!M8*(1+$B19*0.05)/(1+M$14)^10</f>
        <v>470.584368211506</v>
      </c>
    </row>
    <row r="21" customFormat="false" ht="15" hidden="false" customHeight="false" outlineLevel="0" collapsed="false">
      <c r="B21" s="52" t="s">
        <v>174</v>
      </c>
      <c r="C21" s="48" t="n">
        <v>0.05</v>
      </c>
      <c r="D21" s="48" t="n">
        <v>0.06</v>
      </c>
      <c r="E21" s="48" t="n">
        <v>0.07</v>
      </c>
      <c r="F21" s="48" t="n">
        <v>0.08</v>
      </c>
      <c r="G21" s="48" t="n">
        <v>0.09</v>
      </c>
      <c r="H21" s="48" t="n">
        <v>0.1</v>
      </c>
      <c r="I21" s="48" t="n">
        <v>0.11</v>
      </c>
      <c r="J21" s="48" t="n">
        <v>0.12</v>
      </c>
      <c r="K21" s="48" t="n">
        <v>0.13</v>
      </c>
      <c r="L21" s="48" t="n">
        <v>0.14</v>
      </c>
      <c r="M21" s="48" t="n">
        <v>0.15</v>
      </c>
    </row>
    <row r="22" customFormat="false" ht="15" hidden="false" customHeight="false" outlineLevel="0" collapsed="false">
      <c r="B22" s="50" t="n">
        <v>-2</v>
      </c>
      <c r="C22" s="51" t="n">
        <f aca="false">C8-C15</f>
        <v>328.352028297389</v>
      </c>
      <c r="D22" s="51" t="n">
        <f aca="false">D8-D15</f>
        <v>219.00144906207</v>
      </c>
      <c r="E22" s="51" t="n">
        <f aca="false">E8-E15</f>
        <v>117.773263695699</v>
      </c>
      <c r="F22" s="51" t="n">
        <f aca="false">F8-F15</f>
        <v>23.9536462276451</v>
      </c>
      <c r="G22" s="51" t="n">
        <f aca="false">G8-G15</f>
        <v>-63.10029175834</v>
      </c>
      <c r="H22" s="51" t="n">
        <f aca="false">H8-H15</f>
        <v>-143.968276763069</v>
      </c>
      <c r="I22" s="51" t="n">
        <f aca="false">I8-I15</f>
        <v>-219.173723470416</v>
      </c>
      <c r="J22" s="51" t="n">
        <f aca="false">J8-J15</f>
        <v>-289.189777659081</v>
      </c>
      <c r="K22" s="51" t="n">
        <f aca="false">K8-K15</f>
        <v>-354.444654150856</v>
      </c>
      <c r="L22" s="51" t="n">
        <f aca="false">L8-L15</f>
        <v>-415.326358216883</v>
      </c>
      <c r="M22" s="51" t="n">
        <f aca="false">M8-M15</f>
        <v>-472.186867035954</v>
      </c>
    </row>
    <row r="23" customFormat="false" ht="15" hidden="false" customHeight="false" outlineLevel="0" collapsed="false">
      <c r="B23" s="50" t="n">
        <v>-1.5</v>
      </c>
      <c r="C23" s="51" t="n">
        <f aca="false">C9-C16</f>
        <v>381.917362416761</v>
      </c>
      <c r="D23" s="51" t="n">
        <f aca="false">D9-D16</f>
        <v>269.529267091571</v>
      </c>
      <c r="E23" s="51" t="n">
        <f aca="false">E9-E16</f>
        <v>165.489187687246</v>
      </c>
      <c r="F23" s="51" t="n">
        <f aca="false">F9-F16</f>
        <v>69.0634697339685</v>
      </c>
      <c r="G23" s="51" t="n">
        <f aca="false">G9-G16</f>
        <v>-20.4086331960717</v>
      </c>
      <c r="H23" s="51" t="n">
        <f aca="false">H9-H16</f>
        <v>-103.522951117599</v>
      </c>
      <c r="I23" s="51" t="n">
        <f aca="false">I9-I16</f>
        <v>-180.817438011261</v>
      </c>
      <c r="J23" s="51" t="n">
        <f aca="false">J9-J16</f>
        <v>-252.778382594056</v>
      </c>
      <c r="K23" s="51" t="n">
        <f aca="false">K9-K16</f>
        <v>-319.845894543936</v>
      </c>
      <c r="L23" s="51" t="n">
        <f aca="false">L9-L16</f>
        <v>-382.418757056241</v>
      </c>
      <c r="M23" s="51" t="n">
        <f aca="false">M9-M16</f>
        <v>-440.858724453619</v>
      </c>
    </row>
    <row r="24" customFormat="false" ht="15" hidden="false" customHeight="false" outlineLevel="0" collapsed="false">
      <c r="B24" s="50" t="n">
        <v>-1</v>
      </c>
      <c r="C24" s="51" t="n">
        <f aca="false">C10-C17</f>
        <v>435.482696536133</v>
      </c>
      <c r="D24" s="51" t="n">
        <f aca="false">D10-D17</f>
        <v>320.057085121073</v>
      </c>
      <c r="E24" s="51" t="n">
        <f aca="false">E10-E17</f>
        <v>213.205111678793</v>
      </c>
      <c r="F24" s="51" t="n">
        <f aca="false">F10-F17</f>
        <v>114.173293240292</v>
      </c>
      <c r="G24" s="51" t="n">
        <f aca="false">G10-G17</f>
        <v>22.2830253661966</v>
      </c>
      <c r="H24" s="51" t="n">
        <f aca="false">H10-H17</f>
        <v>-63.0776254721286</v>
      </c>
      <c r="I24" s="51" t="n">
        <f aca="false">I10-I17</f>
        <v>-142.461152552106</v>
      </c>
      <c r="J24" s="51" t="n">
        <f aca="false">J10-J17</f>
        <v>-216.36698752903</v>
      </c>
      <c r="K24" s="51" t="n">
        <f aca="false">K10-K17</f>
        <v>-285.247134937015</v>
      </c>
      <c r="L24" s="51" t="n">
        <f aca="false">L10-L17</f>
        <v>-349.511155895599</v>
      </c>
      <c r="M24" s="51" t="n">
        <f aca="false">M10-M17</f>
        <v>-409.530581871284</v>
      </c>
    </row>
    <row r="25" customFormat="false" ht="15" hidden="false" customHeight="false" outlineLevel="0" collapsed="false">
      <c r="B25" s="50" t="n">
        <v>-0.5</v>
      </c>
      <c r="C25" s="51" t="n">
        <f aca="false">C11-C18</f>
        <v>489.048030655505</v>
      </c>
      <c r="D25" s="51" t="n">
        <f aca="false">D11-D18</f>
        <v>370.584903150575</v>
      </c>
      <c r="E25" s="51" t="n">
        <f aca="false">E11-E18</f>
        <v>260.92103567034</v>
      </c>
      <c r="F25" s="51" t="n">
        <f aca="false">F11-F18</f>
        <v>159.283116746616</v>
      </c>
      <c r="G25" s="51" t="n">
        <f aca="false">G11-G18</f>
        <v>64.9746839284649</v>
      </c>
      <c r="H25" s="51" t="n">
        <f aca="false">H11-H18</f>
        <v>-22.6322998266583</v>
      </c>
      <c r="I25" s="51" t="n">
        <f aca="false">I11-I18</f>
        <v>-104.104867092951</v>
      </c>
      <c r="J25" s="51" t="n">
        <f aca="false">J11-J18</f>
        <v>-179.955592464005</v>
      </c>
      <c r="K25" s="51" t="n">
        <f aca="false">K11-K18</f>
        <v>-250.648375330094</v>
      </c>
      <c r="L25" s="51" t="n">
        <f aca="false">L11-L18</f>
        <v>-316.603554734957</v>
      </c>
      <c r="M25" s="51" t="n">
        <f aca="false">M11-M18</f>
        <v>-378.20243928895</v>
      </c>
    </row>
    <row r="26" customFormat="false" ht="15" hidden="false" customHeight="false" outlineLevel="0" collapsed="false">
      <c r="B26" s="50" t="n">
        <v>0</v>
      </c>
      <c r="C26" s="51" t="n">
        <f aca="false">C12-C19</f>
        <v>542.613364774877</v>
      </c>
      <c r="D26" s="51" t="n">
        <f aca="false">D12-D19</f>
        <v>421.112721180077</v>
      </c>
      <c r="E26" s="51" t="n">
        <f aca="false">E12-E19</f>
        <v>308.636959661887</v>
      </c>
      <c r="F26" s="51" t="n">
        <f aca="false">F12-F19</f>
        <v>204.392940252939</v>
      </c>
      <c r="G26" s="51" t="n">
        <f aca="false">G12-G19</f>
        <v>107.666342490733</v>
      </c>
      <c r="H26" s="51" t="n">
        <f aca="false">H12-H19</f>
        <v>17.8130258188121</v>
      </c>
      <c r="I26" s="51" t="n">
        <f aca="false">I12-I19</f>
        <v>-65.7485816337954</v>
      </c>
      <c r="J26" s="51" t="n">
        <f aca="false">J12-J19</f>
        <v>-143.544197398979</v>
      </c>
      <c r="K26" s="51" t="n">
        <f aca="false">K12-K19</f>
        <v>-216.049615723174</v>
      </c>
      <c r="L26" s="51" t="n">
        <f aca="false">L12-L19</f>
        <v>-283.695953574314</v>
      </c>
      <c r="M26" s="51" t="n">
        <f aca="false">M12-M19</f>
        <v>-346.874296706615</v>
      </c>
    </row>
    <row r="29" customFormat="false" ht="15" hidden="false" customHeight="false" outlineLevel="0" collapsed="false">
      <c r="B29" s="29" t="s">
        <v>175</v>
      </c>
    </row>
  </sheetData>
  <mergeCells count="2">
    <mergeCell ref="B2:N2"/>
    <mergeCell ref="B4:N4"/>
  </mergeCells>
  <conditionalFormatting sqref="C22:M26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C8:M12">
    <cfRule type="colorScale" priority="3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C15:M19">
    <cfRule type="colorScale" priority="4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22"/>
  </cols>
  <sheetData>
    <row r="2" customFormat="false" ht="30" hidden="false" customHeight="true" outlineLevel="0" collapsed="false">
      <c r="B2" s="12" t="s">
        <v>176</v>
      </c>
      <c r="C2" s="12"/>
      <c r="D2" s="12"/>
      <c r="E2" s="12"/>
    </row>
    <row r="4" customFormat="false" ht="15" hidden="false" customHeight="false" outlineLevel="0" collapsed="false">
      <c r="B4" s="14" t="s">
        <v>177</v>
      </c>
      <c r="C4" s="14" t="s">
        <v>141</v>
      </c>
      <c r="D4" s="14" t="s">
        <v>142</v>
      </c>
      <c r="E4" s="14" t="s">
        <v>143</v>
      </c>
    </row>
    <row r="5" customFormat="false" ht="15" hidden="false" customHeight="false" outlineLevel="0" collapsed="false">
      <c r="B5" s="8" t="s">
        <v>178</v>
      </c>
      <c r="C5" s="46" t="n">
        <f aca="false">WACC_Low</f>
        <v>0.0615</v>
      </c>
      <c r="D5" s="46" t="n">
        <f aca="false">WACC_Base</f>
        <v>0.075</v>
      </c>
      <c r="E5" s="46" t="n">
        <f aca="false">WACC_High</f>
        <v>0.12</v>
      </c>
    </row>
    <row r="7" customFormat="false" ht="15" hidden="false" customHeight="false" outlineLevel="0" collapsed="false">
      <c r="B7" s="15" t="s">
        <v>179</v>
      </c>
    </row>
    <row r="8" customFormat="false" ht="15" hidden="false" customHeight="false" outlineLevel="0" collapsed="false">
      <c r="B8" s="8" t="s">
        <v>165</v>
      </c>
      <c r="C8" s="25" t="n">
        <f aca="false">Project_CF!C7/(1+WACC_Low)^0+Project_CF!D7/(1+WACC_Low)^1+Project_CF!E7/(1+WACC_Low)^2+Project_CF!F7/(1+WACC_Low)^3+Project_CF!G7/(1+WACC_Low)^4+Project_CF!H7/(1+WACC_Low)^5+Project_CF!I7/(1+WACC_Low)^6+Project_CF!J7/(1+WACC_Low)^7+Project_CF!K7/(1+WACC_Low)^8+Project_CF!L7/(1+WACC_Low)^9+Project_CF!M7/(1+WACC_Low)^10</f>
        <v>1258.60623669488</v>
      </c>
      <c r="D8" s="25" t="n">
        <f aca="false">Project_CF!C7/(1+WACC_Base)^0+Project_CF!D7/(1+WACC_Base)^1+Project_CF!E7/(1+WACC_Base)^2+Project_CF!F7/(1+WACC_Base)^3+Project_CF!G7/(1+WACC_Base)^4+Project_CF!H7/(1+WACC_Base)^5+Project_CF!I7/(1+WACC_Base)^6+Project_CF!J7/(1+WACC_Base)^7+Project_CF!K7/(1+WACC_Base)^8+Project_CF!L7/(1+WACC_Base)^9+Project_CF!M7/(1+WACC_Base)^10</f>
        <v>1036.19263190731</v>
      </c>
      <c r="E8" s="25" t="n">
        <f aca="false">Project_CF!C7/(1+WACC_High)^0+Project_CF!D7/(1+WACC_High)^1+Project_CF!E7/(1+WACC_High)^2+Project_CF!F7/(1+WACC_High)^3+Project_CF!G7/(1+WACC_High)^4+Project_CF!H7/(1+WACC_High)^5+Project_CF!I7/(1+WACC_High)^6+Project_CF!J7/(1+WACC_High)^7+Project_CF!K7/(1+WACC_High)^8+Project_CF!L7/(1+WACC_High)^9+Project_CF!M7/(1+WACC_High)^10</f>
        <v>433.441926615649</v>
      </c>
    </row>
    <row r="9" customFormat="false" ht="15" hidden="false" customHeight="false" outlineLevel="0" collapsed="false">
      <c r="B9" s="8" t="s">
        <v>166</v>
      </c>
      <c r="C9" s="36" t="n">
        <f aca="false">IRR(Project_CF!C7:M7)</f>
        <v>0.163852904962278</v>
      </c>
      <c r="D9" s="36" t="n">
        <f aca="false">IRR(Project_CF!C7:M7)</f>
        <v>0.163852904962278</v>
      </c>
      <c r="E9" s="36" t="n">
        <f aca="false">IRR(Project_CF!C7:M7)</f>
        <v>0.163852904962278</v>
      </c>
    </row>
    <row r="11" customFormat="false" ht="15" hidden="false" customHeight="false" outlineLevel="0" collapsed="false">
      <c r="B11" s="15" t="s">
        <v>180</v>
      </c>
    </row>
    <row r="12" customFormat="false" ht="15" hidden="false" customHeight="false" outlineLevel="0" collapsed="false">
      <c r="B12" s="8" t="s">
        <v>165</v>
      </c>
      <c r="C12" s="25" t="n">
        <f aca="false">Project_CF!C8/(1+WACC_Low)^0+Project_CF!D8/(1+WACC_Low)^1+Project_CF!E8/(1+WACC_Low)^2+Project_CF!F8/(1+WACC_Low)^3+Project_CF!G8/(1+WACC_Low)^4+Project_CF!H8/(1+WACC_Low)^5+Project_CF!I8/(1+WACC_Low)^6+Project_CF!J8/(1+WACC_Low)^7+Project_CF!K8/(1+WACC_Low)^8+Project_CF!L8/(1+WACC_Low)^9+Project_CF!M8/(1+WACC_Low)^10</f>
        <v>854.919882442607</v>
      </c>
      <c r="D12" s="25" t="n">
        <f aca="false">Project_CF!C8/(1+WACC_Base)^0+Project_CF!D8/(1+WACC_Base)^1+Project_CF!E8/(1+WACC_Base)^2+Project_CF!F8/(1+WACC_Base)^3+Project_CF!G8/(1+WACC_Base)^4+Project_CF!H8/(1+WACC_Base)^5+Project_CF!I8/(1+WACC_Base)^6+Project_CF!J8/(1+WACC_Base)^7+Project_CF!K8/(1+WACC_Base)^8+Project_CF!L8/(1+WACC_Base)^9+Project_CF!M8/(1+WACC_Base)^10</f>
        <v>780.660263967257</v>
      </c>
      <c r="E12" s="25" t="n">
        <f aca="false">Project_CF!C8/(1+WACC_High)^0+Project_CF!D8/(1+WACC_High)^1+Project_CF!E8/(1+WACC_High)^2+Project_CF!F8/(1+WACC_High)^3+Project_CF!G8/(1+WACC_High)^4+Project_CF!H8/(1+WACC_High)^5+Project_CF!I8/(1+WACC_High)^6+Project_CF!J8/(1+WACC_High)^7+Project_CF!K8/(1+WACC_High)^8+Project_CF!L8/(1+WACC_High)^9+Project_CF!M8/(1+WACC_High)^10</f>
        <v>576.986124014628</v>
      </c>
    </row>
    <row r="13" customFormat="false" ht="15" hidden="false" customHeight="false" outlineLevel="0" collapsed="false">
      <c r="B13" s="8" t="s">
        <v>166</v>
      </c>
      <c r="C13" s="36" t="n">
        <f aca="false">IRR(Project_CF!C8:M8)</f>
        <v>0.429987253670584</v>
      </c>
      <c r="D13" s="36" t="n">
        <f aca="false">IRR(Project_CF!C8:M8)</f>
        <v>0.429987253670584</v>
      </c>
      <c r="E13" s="36" t="n">
        <f aca="false">IRR(Project_CF!C8:M8)</f>
        <v>0.429987253670584</v>
      </c>
    </row>
    <row r="15" customFormat="false" ht="15" hidden="false" customHeight="false" outlineLevel="0" collapsed="false">
      <c r="B15" s="49" t="s">
        <v>181</v>
      </c>
      <c r="C15" s="53" t="str">
        <f aca="false">IF(C8&gt;C12, "DOMESTIC", "OUTSOURCE")</f>
        <v>DOMESTIC</v>
      </c>
      <c r="D15" s="53" t="str">
        <f aca="false">IF(D8&gt;D12, "DOMESTIC", "OUTSOURCE")</f>
        <v>DOMESTIC</v>
      </c>
      <c r="E15" s="53" t="str">
        <f aca="false">IF(E8&gt;E12, "DOMESTIC", "OUTSOURCE")</f>
        <v>OUTSOURCE</v>
      </c>
    </row>
    <row r="16" customFormat="false" ht="15" hidden="false" customHeight="false" outlineLevel="0" collapsed="false">
      <c r="B16" s="9" t="s">
        <v>182</v>
      </c>
      <c r="C16" s="25" t="n">
        <f aca="false">C8-C12</f>
        <v>403.686354252273</v>
      </c>
      <c r="D16" s="25" t="n">
        <f aca="false">D8-D12</f>
        <v>255.532367940053</v>
      </c>
      <c r="E16" s="25" t="n">
        <f aca="false">E8-E12</f>
        <v>-143.544197398979</v>
      </c>
    </row>
    <row r="19" customFormat="false" ht="21.75" hidden="false" customHeight="true" outlineLevel="0" collapsed="false">
      <c r="B19" s="3" t="s">
        <v>183</v>
      </c>
      <c r="C19" s="3"/>
      <c r="D19" s="3"/>
      <c r="E19" s="3"/>
    </row>
    <row r="20" customFormat="false" ht="36" hidden="false" customHeight="true" outlineLevel="0" collapsed="false">
      <c r="B20" s="9" t="s">
        <v>184</v>
      </c>
      <c r="C20" s="4" t="s">
        <v>185</v>
      </c>
      <c r="D20" s="4"/>
      <c r="E20" s="4"/>
    </row>
    <row r="21" customFormat="false" ht="36" hidden="false" customHeight="true" outlineLevel="0" collapsed="false">
      <c r="B21" s="9" t="s">
        <v>186</v>
      </c>
      <c r="C21" s="4" t="s">
        <v>187</v>
      </c>
      <c r="D21" s="4"/>
      <c r="E21" s="4"/>
    </row>
    <row r="22" customFormat="false" ht="36" hidden="false" customHeight="true" outlineLevel="0" collapsed="false">
      <c r="B22" s="9" t="s">
        <v>188</v>
      </c>
      <c r="C22" s="4" t="s">
        <v>189</v>
      </c>
      <c r="D22" s="4"/>
      <c r="E22" s="4"/>
    </row>
    <row r="23" customFormat="false" ht="36" hidden="false" customHeight="true" outlineLevel="0" collapsed="false">
      <c r="B23" s="9" t="s">
        <v>190</v>
      </c>
      <c r="C23" s="4" t="s">
        <v>191</v>
      </c>
      <c r="D23" s="4"/>
      <c r="E23" s="4"/>
    </row>
    <row r="24" customFormat="false" ht="36" hidden="false" customHeight="true" outlineLevel="0" collapsed="false">
      <c r="B24" s="9" t="s">
        <v>192</v>
      </c>
      <c r="C24" s="4" t="s">
        <v>193</v>
      </c>
      <c r="D24" s="4"/>
      <c r="E24" s="4"/>
    </row>
  </sheetData>
  <mergeCells count="7">
    <mergeCell ref="B2:E2"/>
    <mergeCell ref="B19:E19"/>
    <mergeCell ref="C20:E20"/>
    <mergeCell ref="C21:E21"/>
    <mergeCell ref="C22:E22"/>
    <mergeCell ref="C23:E23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2026-05-06T07:35:11Z</dcterms:created>
  <dc:creator>openpyxl</dc:creator>
  <dc:description/>
  <dc:language>en-US</dc:language>
  <cp:lastModifiedBy/>
  <dcterms:modified xsi:type="dcterms:W3CDTF">2026-05-06T07:35:11Z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