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GARCH_Outputs" sheetId="3" state="visible" r:id="rId5"/>
    <sheet name="CAPM_APT" sheetId="4" state="visible" r:id="rId6"/>
    <sheet name="MM_TaxShield" sheetId="5" state="visible" r:id="rId7"/>
    <sheet name="RealOption_BS" sheetId="6" state="visible" r:id="rId8"/>
    <sheet name="CF_Forecast" sheetId="7" state="visible" r:id="rId9"/>
    <sheet name="NPV_2Way" sheetId="8" state="visible" r:id="rId10"/>
    <sheet name="Risk_Heatmap" sheetId="9" state="visible" r:id="rId11"/>
    <sheet name="Scenarios" sheetId="10" state="visible" r:id="rId12"/>
    <sheet name="Summary" sheetId="11" state="visible" r:id="rId13"/>
  </sheets>
  <definedNames>
    <definedName function="false" hidden="false" name="Asset_Vol_Ratio" vbProcedure="false">Inputs!$C$18</definedName>
    <definedName function="false" hidden="false" name="Beta_Brent" vbProcedure="false">Inputs!$C$17</definedName>
    <definedName function="false" hidden="false" name="Brent_RP" vbProcedure="false">Inputs!$C$7</definedName>
    <definedName function="false" hidden="false" name="GARCH_LongRunVol" vbProcedure="false">Inputs!$C$33</definedName>
    <definedName function="false" hidden="false" name="Ke_APT" vbProcedure="false">CAPM_APT!$C$17</definedName>
    <definedName function="false" hidden="false" name="Ke_CAPM" vbProcedure="false">CAPM_APT!$C$10</definedName>
    <definedName function="false" hidden="false" name="Optimal_DV" vbProcedure="false">MM_TaxShield!$C$17</definedName>
    <definedName function="false" hidden="false" name="Optimal_WACC" vbProcedure="false">MM_TaxShield!$C$18</definedName>
    <definedName function="false" hidden="false" name="Option_T" vbProcedure="false">Inputs!$C$28</definedName>
    <definedName function="false" hidden="false" name="Pre_Tax_Cod" vbProcedure="false">Inputs!$C$16</definedName>
    <definedName function="false" hidden="false" name="Project_Capex" vbProcedure="false">Inputs!$C$22</definedName>
    <definedName function="false" hidden="false" name="Project_S" vbProcedure="false">Inputs!$C$27</definedName>
    <definedName function="false" hidden="false" name="Rf" vbProcedure="false">Inputs!$C$6</definedName>
    <definedName function="false" hidden="false" name="RP_vol" vbProcedure="false">Inputs!$C$8</definedName>
    <definedName function="false" hidden="false" name="Tax_Rate" vbProcedure="false">Inputs!$C$9</definedName>
    <definedName function="false" hidden="false" name="V_Unlevered" vbProcedure="false">Inputs!$C$19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<sst xmlns="http://schemas.openxmlformats.org/spreadsheetml/2006/main" count="331" uniqueCount="291">
  <si>
    <t xml:space="preserve">The Capital Structure Audit</t>
  </si>
  <si>
    <t xml:space="preserve">Optimizing Leverage in Volatile Markets | EnergyCo + Brent Crude (1987-2022)</t>
  </si>
  <si>
    <t xml:space="preserve">Engagement Brief</t>
  </si>
  <si>
    <t xml:space="preserve">EnergyCo - a $50B revenue, BBB-rated upstream pure-play - is considering a $2B debt-funded expansion. With Brent crude vol clustering (35yr persistence = 0.9930) and rising rates, leadership needs to know the OPTIMAL CAPITAL STRUCTURE without risking insolvency. This audit anchors all systematic-risk math to the empirical Brent record - 9,011 daily observations spanning 35.5 years.</t>
  </si>
  <si>
    <t xml:space="preserve">Anchor</t>
  </si>
  <si>
    <t xml:space="preserve">Dataset</t>
  </si>
  <si>
    <t xml:space="preserve">Brent Crude Spot Prices (Kaggle / U.S. EIA)</t>
  </si>
  <si>
    <t xml:space="preserve">Span</t>
  </si>
  <si>
    <t xml:space="preserve">1987-05-20 to 2022-11-14 (35.5 years, 9,011 obs)</t>
  </si>
  <si>
    <t xml:space="preserve">Price range</t>
  </si>
  <si>
    <t xml:space="preserve">$9.10 to $143.95 / barrel</t>
  </si>
  <si>
    <t xml:space="preserve">Reference firm</t>
  </si>
  <si>
    <t xml:space="preserve">EnergyCo: $50B revenue, 28% EBITDA margin, BBB credit, 25% effective tax</t>
  </si>
  <si>
    <t xml:space="preserve">Project under review</t>
  </si>
  <si>
    <t xml:space="preserve">$2B upstream expansion, 10-yr life, base $400M Y1 EBITDA</t>
  </si>
  <si>
    <t xml:space="preserve">Methodology</t>
  </si>
  <si>
    <t xml:space="preserve">Stationarity test</t>
  </si>
  <si>
    <t xml:space="preserve">ADF on log-returns: stat=-16.43, p&lt;0.0001 (PASSED)</t>
  </si>
  <si>
    <t xml:space="preserve">Vol clustering test</t>
  </si>
  <si>
    <t xml:space="preserve">ARCH-LM: stat=1299, p&lt;1e-9 (strong clustering)</t>
  </si>
  <si>
    <t xml:space="preserve">GARCH model</t>
  </si>
  <si>
    <t xml:space="preserve">GARCH(1,1) Student-t innovations (heavy tails confirmed)</t>
  </si>
  <si>
    <t xml:space="preserve">Cost of equity</t>
  </si>
  <si>
    <t xml:space="preserve">CAPM (single-factor energy) + APT (level + vol) cross-check</t>
  </si>
  <si>
    <t xml:space="preserve">Capital structure</t>
  </si>
  <si>
    <t xml:space="preserve">MM with taxes + levered beta + distress premium</t>
  </si>
  <si>
    <t xml:space="preserve">Real option</t>
  </si>
  <si>
    <t xml:space="preserve">Black-Scholes call on project value, sigma from GARCH long-run</t>
  </si>
  <si>
    <t xml:space="preserve">Default model</t>
  </si>
  <si>
    <t xml:space="preserve">Merton-style 1-year PoD across leverage x vol grid</t>
  </si>
  <si>
    <t xml:space="preserve">Hero Findings</t>
  </si>
  <si>
    <t xml:space="preserve">Optimal leverage zone is D/V = 30%-40% (WACC ~9.0%, near-zero PoD even in crisis vol). Above 50% D/V, default probability rises non-linearly: &lt;1% at 40%, ~14% at 50%, 63% at 60%, 99%+ at 70%. The Real Option to DELAY the $2B project is worth $281M of time value (vs $400M intrinsic) - because base-case NPV is marginally negative at -$64M, and the GARCH-implied sigma of 46% makes waiting valuable. RECOMMENDATION: target 30-35% D/V (just below current), then re-evaluate the project after a quarter of vol clarity.</t>
  </si>
  <si>
    <t xml:space="preserve">Inputs - All Assumptions</t>
  </si>
  <si>
    <t xml:space="preserve">1. Macro / Market</t>
  </si>
  <si>
    <t xml:space="preserve">Parameter</t>
  </si>
  <si>
    <t xml:space="preserve">Value</t>
  </si>
  <si>
    <t xml:space="preserve">Unit</t>
  </si>
  <si>
    <t xml:space="preserve">Note</t>
  </si>
  <si>
    <t xml:space="preserve">Risk-free rate (10y Treasury)</t>
  </si>
  <si>
    <t xml:space="preserve">%</t>
  </si>
  <si>
    <t xml:space="preserve">Current proxy</t>
  </si>
  <si>
    <t xml:space="preserve">Brent risk premium (35yr)</t>
  </si>
  <si>
    <t xml:space="preserve">Historical Brent excess return</t>
  </si>
  <si>
    <t xml:space="preserve">Brent vol risk premium (RP_vol)</t>
  </si>
  <si>
    <t xml:space="preserve">APT second factor</t>
  </si>
  <si>
    <t xml:space="preserve">Effective corporate tax rate</t>
  </si>
  <si>
    <t xml:space="preserve">US blended</t>
  </si>
  <si>
    <t xml:space="preserve">2. EnergyCo Financials</t>
  </si>
  <si>
    <t xml:space="preserve">Revenue</t>
  </si>
  <si>
    <t xml:space="preserve">$</t>
  </si>
  <si>
    <t xml:space="preserve">$50B - industry median for $50B BBB upstream</t>
  </si>
  <si>
    <t xml:space="preserve">EBITDA margin</t>
  </si>
  <si>
    <t xml:space="preserve">28% - industry typical</t>
  </si>
  <si>
    <t xml:space="preserve">Depreciation (annual)</t>
  </si>
  <si>
    <t xml:space="preserve">~7% of revenue</t>
  </si>
  <si>
    <t xml:space="preserve">Capex (maintenance)</t>
  </si>
  <si>
    <t xml:space="preserve">~8% of revenue</t>
  </si>
  <si>
    <t xml:space="preserve">Pre-tax cost of debt (BBB base)</t>
  </si>
  <si>
    <t xml:space="preserve">BBB credit spread + risk-free</t>
  </si>
  <si>
    <t xml:space="preserve">Equity beta vs Brent</t>
  </si>
  <si>
    <t xml:space="preserve">-</t>
  </si>
  <si>
    <t xml:space="preserve">Industry-typical for upstream pure-play</t>
  </si>
  <si>
    <t xml:space="preserve">Asset vol / Brent vol ratio</t>
  </si>
  <si>
    <t xml:space="preserve">Firm asset vol = 55% of commodity vol</t>
  </si>
  <si>
    <t xml:space="preserve">Firm value (unlevered)</t>
  </si>
  <si>
    <t xml:space="preserve">1.5x revenue (energy industry EV multiple)</t>
  </si>
  <si>
    <t xml:space="preserve">3. Project Under Review</t>
  </si>
  <si>
    <t xml:space="preserve">Capex (Year 0)</t>
  </si>
  <si>
    <t xml:space="preserve">Upfront investment</t>
  </si>
  <si>
    <t xml:space="preserve">Year 1 EBITDA</t>
  </si>
  <si>
    <t xml:space="preserve">Base case projection</t>
  </si>
  <si>
    <t xml:space="preserve">EBITDA decline rate (Y1-Y5)</t>
  </si>
  <si>
    <t xml:space="preserve">5%/yr early years</t>
  </si>
  <si>
    <t xml:space="preserve">EBITDA decline rate (Y6-Y10)</t>
  </si>
  <si>
    <t xml:space="preserve">10%/yr mature years</t>
  </si>
  <si>
    <t xml:space="preserve">Terminal salvage value (Y10)</t>
  </si>
  <si>
    <t xml:space="preserve">10% of original capex</t>
  </si>
  <si>
    <t xml:space="preserve">PV of project cash flows</t>
  </si>
  <si>
    <t xml:space="preserve">S in Black-Scholes (base case)</t>
  </si>
  <si>
    <t xml:space="preserve">Real Option delay horizon</t>
  </si>
  <si>
    <t xml:space="preserve">yrs</t>
  </si>
  <si>
    <t xml:space="preserve">T in Black-Scholes</t>
  </si>
  <si>
    <t xml:space="preserve">4. GARCH(1,1) Outputs (locked from notebook)</t>
  </si>
  <si>
    <t xml:space="preserve">Persistence (alpha + beta)</t>
  </si>
  <si>
    <t xml:space="preserve">Vol shocks decay slowly</t>
  </si>
  <si>
    <t xml:space="preserve">Half-life of vol shocks</t>
  </si>
  <si>
    <t xml:space="preserve">days</t>
  </si>
  <si>
    <t xml:space="preserve">Time to half of shock impact</t>
  </si>
  <si>
    <t xml:space="preserve">Long-run annualized vol</t>
  </si>
  <si>
    <t xml:space="preserve">Used as Black-Scholes sigma</t>
  </si>
  <si>
    <t xml:space="preserve">Sample annualized vol</t>
  </si>
  <si>
    <t xml:space="preserve">Empirical std × sqrt(252)</t>
  </si>
  <si>
    <t xml:space="preserve">Student-t df (nu)</t>
  </si>
  <si>
    <t xml:space="preserve">Lower = fatter tails</t>
  </si>
  <si>
    <t xml:space="preserve">90-day fwd vol (Day 90)</t>
  </si>
  <si>
    <t xml:space="preserve">Forecast endpoint</t>
  </si>
  <si>
    <t xml:space="preserve">GARCH(1,1) Student-t Output Summary</t>
  </si>
  <si>
    <t xml:space="preserve">GARCH(1,1) with Student-t innovations fits Brent's heavy-tailed return distribution. Persistence of 0.9930 means volatility shocks decay slowly (half-life ~99 days). Long-run vol is 45.83% annualized - this is the sigma we use for Black-Scholes.</t>
  </si>
  <si>
    <t xml:space="preserve">FIT PARAMETERS</t>
  </si>
  <si>
    <t xml:space="preserve">omega</t>
  </si>
  <si>
    <t xml:space="preserve">(%)^2</t>
  </si>
  <si>
    <t xml:space="preserve">Long-run variance constant</t>
  </si>
  <si>
    <t xml:space="preserve">alpha[1]</t>
  </si>
  <si>
    <t xml:space="preserve">ARCH effect (lagged squared shock)</t>
  </si>
  <si>
    <t xml:space="preserve">beta[1]</t>
  </si>
  <si>
    <t xml:space="preserve">GARCH effect (lagged variance)</t>
  </si>
  <si>
    <t xml:space="preserve">&lt;1 required for stationarity</t>
  </si>
  <si>
    <t xml:space="preserve">-ln(2)/ln(persistence)</t>
  </si>
  <si>
    <t xml:space="preserve">Long-run vol (annualized)</t>
  </si>
  <si>
    <t xml:space="preserve">sqrt(omega/(1-persistence) * 252)</t>
  </si>
  <si>
    <t xml:space="preserve">Sample vol (annualized)</t>
  </si>
  <si>
    <t xml:space="preserve">Empirical std * sqrt(252)</t>
  </si>
  <si>
    <t xml:space="preserve">Log-likelihood</t>
  </si>
  <si>
    <t xml:space="preserve">GARCH &gt; GARCH-Normal by &gt;1500 LL units</t>
  </si>
  <si>
    <t xml:space="preserve">AIC</t>
  </si>
  <si>
    <t xml:space="preserve">Lower better</t>
  </si>
  <si>
    <t xml:space="preserve">BIC</t>
  </si>
  <si>
    <t xml:space="preserve">VOLATILITY REGIMES (35-year history)</t>
  </si>
  <si>
    <t xml:space="preserve">Regime</t>
  </si>
  <si>
    <t xml:space="preserve">Lower</t>
  </si>
  <si>
    <t xml:space="preserve">Upper</t>
  </si>
  <si>
    <t xml:space="preserve">% of History</t>
  </si>
  <si>
    <t xml:space="preserve">Description</t>
  </si>
  <si>
    <t xml:space="preserve">LOW</t>
  </si>
  <si>
    <t xml:space="preserve">33%</t>
  </si>
  <si>
    <t xml:space="preserve">Calm market - GARCH cond vol &lt; 28%</t>
  </si>
  <si>
    <t xml:space="preserve">MEDIUM</t>
  </si>
  <si>
    <t xml:space="preserve">34%</t>
  </si>
  <si>
    <t xml:space="preserve">Typical regime - 28-37%</t>
  </si>
  <si>
    <t xml:space="preserve">HIGH</t>
  </si>
  <si>
    <t xml:space="preserve">28%</t>
  </si>
  <si>
    <t xml:space="preserve">Elevated stress - 37-60%</t>
  </si>
  <si>
    <t xml:space="preserve">CRISIS</t>
  </si>
  <si>
    <t xml:space="preserve">5%</t>
  </si>
  <si>
    <t xml:space="preserve">Crisis regime - GARCH cond vol &gt; 60%</t>
  </si>
  <si>
    <t xml:space="preserve">Cost of Equity - CAPM and APT</t>
  </si>
  <si>
    <t xml:space="preserve">Two methods, cross-check. CAPM uses Brent as the single systematic factor (energy CAPM). APT adds Brent volatility as a second factor (negative beta = firm underperforms when vol rises). The two should be close; large gaps would signal model misspecification.</t>
  </si>
  <si>
    <t xml:space="preserve">1. CAPM (Single-Factor Energy Model)</t>
  </si>
  <si>
    <t xml:space="preserve">Risk-free rate</t>
  </si>
  <si>
    <t xml:space="preserve">Beta vs Brent</t>
  </si>
  <si>
    <t xml:space="preserve">Brent risk premium</t>
  </si>
  <si>
    <t xml:space="preserve">Ke (CAPM) = Rf + beta * RP</t>
  </si>
  <si>
    <t xml:space="preserve">2. APT (Two-Factor: Brent Level + Brent Vol)</t>
  </si>
  <si>
    <t xml:space="preserve">beta_level (Brent returns)</t>
  </si>
  <si>
    <t xml:space="preserve">RP_level</t>
  </si>
  <si>
    <t xml:space="preserve">beta_vol (Brent vol)</t>
  </si>
  <si>
    <t xml:space="preserve">RP_vol</t>
  </si>
  <si>
    <t xml:space="preserve">Ke (APT) = Rf + b_lev*RP_lev + b_vol*RP_vol</t>
  </si>
  <si>
    <t xml:space="preserve">CROSS-CHECK</t>
  </si>
  <si>
    <t xml:space="preserve">CAPM Ke</t>
  </si>
  <si>
    <t xml:space="preserve">APT Ke</t>
  </si>
  <si>
    <t xml:space="preserve">Gap (APT - CAPM)</t>
  </si>
  <si>
    <t xml:space="preserve">Modigliani-Miller with Taxes - Leverage Scenarios</t>
  </si>
  <si>
    <t xml:space="preserve">V_Levered = V_Unlevered + Tc x D. WACC bottoms at the optimal capital structure point. Beyond that, distress premium on debt and rising levered beta push WACC back up. Yellow row = optimal D/V (lowest WACC).</t>
  </si>
  <si>
    <t xml:space="preserve">D/V</t>
  </si>
  <si>
    <t xml:space="preserve">D/E</t>
  </si>
  <si>
    <t xml:space="preserve">Debt ($B)</t>
  </si>
  <si>
    <t xml:space="preserve">Tax Shield ($B)</t>
  </si>
  <si>
    <t xml:space="preserve">V_Lev ($B)</t>
  </si>
  <si>
    <t xml:space="preserve">beta_L</t>
  </si>
  <si>
    <t xml:space="preserve">Ke</t>
  </si>
  <si>
    <t xml:space="preserve">Kd</t>
  </si>
  <si>
    <t xml:space="preserve">WACC</t>
  </si>
  <si>
    <t xml:space="preserve">WACC Rank</t>
  </si>
  <si>
    <t xml:space="preserve">OPTIMAL CAPITAL STRUCTURE</t>
  </si>
  <si>
    <t xml:space="preserve">Optimal D/V</t>
  </si>
  <si>
    <t xml:space="preserve">WACC at optimum</t>
  </si>
  <si>
    <t xml:space="preserve">Tax shield at optimum ($B)</t>
  </si>
  <si>
    <t xml:space="preserve">Black-Scholes - Real Option to Delay</t>
  </si>
  <si>
    <t xml:space="preserve">Should EnergyCo invest the $2B NOW or wait? Treat the investment as a CALL OPTION on project value. Sigma calibrated to Brent GARCH long-run vol (45.83%). The TIME VALUE is the optionality premium - the value of waiting for vol to clarify.</t>
  </si>
  <si>
    <t xml:space="preserve">INPUTS</t>
  </si>
  <si>
    <t xml:space="preserve">S = PV of project cash flows ($)</t>
  </si>
  <si>
    <t xml:space="preserve">K = Project cost ($)</t>
  </si>
  <si>
    <t xml:space="preserve">T = Delay horizon (years)</t>
  </si>
  <si>
    <t xml:space="preserve">r = Risk-free rate</t>
  </si>
  <si>
    <t xml:space="preserve">sigma = Brent GARCH long-run vol</t>
  </si>
  <si>
    <t xml:space="preserve">BLACK-SCHOLES COMPUTATION</t>
  </si>
  <si>
    <t xml:space="preserve">d1 = (ln(S/K) + (r + 0.5σ²)T) / (σ√T)</t>
  </si>
  <si>
    <t xml:space="preserve">d2 = d1 - σ√T</t>
  </si>
  <si>
    <t xml:space="preserve">N(d1)</t>
  </si>
  <si>
    <t xml:space="preserve">N(d2)</t>
  </si>
  <si>
    <t xml:space="preserve">OUTPUTS</t>
  </si>
  <si>
    <t xml:space="preserve">Real Option Value (Call)</t>
  </si>
  <si>
    <t xml:space="preserve">Intrinsic Value (S - K)</t>
  </si>
  <si>
    <t xml:space="preserve">Time Value (Optionality premium)</t>
  </si>
  <si>
    <t xml:space="preserve">Optionality % above intrinsic</t>
  </si>
  <si>
    <t xml:space="preserve">10-Year Project Cash Flow Forecast (Indirect Method)</t>
  </si>
  <si>
    <t xml:space="preserve">Indirect Method: NOPAT + D&amp;A - Capex - dWC. EBITDA declines 5%/yr in years 1-5, 10%/yr in 6-10. Year 0 is initial $2B capex. Year 10 includes $200M salvage.</t>
  </si>
  <si>
    <t xml:space="preserve">Line item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</si>
  <si>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</si>
  <si>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</si>
  <si>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</si>
  <si>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</si>
  <si>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</si>
  <si>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</si>
  <si>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</si>
  <si>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</si>
  <si>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</si>
  <si>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</si>
  <si>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</si>
  <si>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EBITDA</t>
  </si>
  <si>
    <t xml:space="preserve">(-) D&amp;A</t>
  </si>
  <si>
    <t xml:space="preserve">EBIT</t>
  </si>
  <si>
    <t xml:space="preserve">(-) Tax</t>
  </si>
  <si>
    <t xml:space="preserve">NOPAT</t>
  </si>
  <si>
    <t xml:space="preserve">(+) D&amp;A back</t>
  </si>
  <si>
    <t xml:space="preserve">(-) Capex</t>
  </si>
  <si>
    <t xml:space="preserve">(+) Salvage value</t>
  </si>
  <si>
    <t xml:space="preserve">Free Cash Flow</t>
  </si>
  <si>
    <t xml:space="preserve">Discount factor (at Optimal WACC)</t>
  </si>
  <si>
    <t xml:space="preserve">Discounted FCF</t>
  </si>
  <si>
    <t xml:space="preserve">NPV @ OPTIMAL WACC</t>
  </si>
  <si>
    <t xml:space="preserve">Sum of discounted FCF</t>
  </si>
  <si>
    <t xml:space="preserve">WACC used</t>
  </si>
  <si>
    <t xml:space="preserve">NPV 2-Way Sensitivity (Brent Scenario x WACC)</t>
  </si>
  <si>
    <t xml:space="preserve">Bear ($40 oil) reduces project EBITDA by 40%; Bull ($110) lifts by 40%. WACC varies across the cost-of-capital landscape. NPV = sum of discounted FCFs scaled by Brent multiplier. Green = positive NPV, Red = destroys value.</t>
  </si>
  <si>
    <t xml:space="preserve">Brent scenario</t>
  </si>
  <si>
    <t xml:space="preserve">Bear ($40)</t>
  </si>
  <si>
    <t xml:space="preserve">Base ($75)</t>
  </si>
  <si>
    <t xml:space="preserve">Bull ($110)</t>
  </si>
  <si>
    <t xml:space="preserve">DECISION RULE</t>
  </si>
  <si>
    <t xml:space="preserve">Project is value-destructive in Bear scenario at all WACC levels. Base case is marginally negative at optimal WACC. Bull case is highly positive. The asymmetry + Brent's 46% volatility justifies WAITING (Real Option to Delay = $281M time value).</t>
  </si>
  <si>
    <t xml:space="preserve">Merton-Style Probability of Default - Risk Heatmap</t>
  </si>
  <si>
    <t xml:space="preserve">PoD = N(-DD), where DD = (ln(V/D) + (mu - 0.5σ²)T) / (σ√T). Asset volatility = 55% of Brent vol (industry typical for upstream). 1-year horizon. Color: green &lt; 1%, amber 1-15%, red &gt; 15%.</t>
  </si>
  <si>
    <t xml:space="preserve">D/V Leverage</t>
  </si>
  <si>
    <t xml:space="preserve">LOW (25%)</t>
  </si>
  <si>
    <t xml:space="preserve">MEDIUM (40%)</t>
  </si>
  <si>
    <t xml:space="preserve">HIGH (60%)</t>
  </si>
  <si>
    <t xml:space="preserve">CRISIS (80%)</t>
  </si>
  <si>
    <t xml:space="preserve">RECOMMENDED LEVERAGE BAND</t>
  </si>
  <si>
    <t xml:space="preserve">D/V = 30%-40% captures most of the tax shield benefit while staying well below the PoD cliff (which begins at 50% D/V in median vol regimes). Above 60% D/V, PoD exceeds 60% even in calm regimes - effectively non-investable.</t>
  </si>
  <si>
    <t xml:space="preserve">Capital Structure Scenarios</t>
  </si>
  <si>
    <t xml:space="preserve">3 capital structure scenarios + active picker. Switch between Conservative (D/V=20%), Recommended (30%), and Aggressive (50%). Watch how PoD, WACC, and tax shield change.</t>
  </si>
  <si>
    <t xml:space="preserve">Lever</t>
  </si>
  <si>
    <t xml:space="preserve">Conservative</t>
  </si>
  <si>
    <t xml:space="preserve">Recommended</t>
  </si>
  <si>
    <t xml:space="preserve">Aggressive</t>
  </si>
  <si>
    <t xml:space="preserve">D/V leverage</t>
  </si>
  <si>
    <t xml:space="preserve">WACC (from MM)</t>
  </si>
  <si>
    <t xml:space="preserve">Tax shield ($B)</t>
  </si>
  <si>
    <t xml:space="preserve">PoD at MEDIUM vol regime</t>
  </si>
  <si>
    <t xml:space="preserve">ACTIVE SCENARIO:</t>
  </si>
  <si>
    <t xml:space="preserve">(1=Conservative, 2=Recommended, 3=Aggressive)</t>
  </si>
  <si>
    <t xml:space="preserve">Active D/V</t>
  </si>
  <si>
    <t xml:space="preserve">Active WACC</t>
  </si>
  <si>
    <t xml:space="preserve">Active Tax Shield ($B)</t>
  </si>
  <si>
    <t xml:space="preserve">Active PoD (MEDIUM vol)</t>
  </si>
  <si>
    <t xml:space="preserve">Executive Summary</t>
  </si>
  <si>
    <t xml:space="preserve">HERO NUMBERS</t>
  </si>
  <si>
    <t xml:space="preserve">GARCH persistence</t>
  </si>
  <si>
    <t xml:space="preserve">0.9930</t>
  </si>
  <si>
    <t xml:space="preserve">GARCH half-life (vol shocks)</t>
  </si>
  <si>
    <t xml:space="preserve">99.2 days</t>
  </si>
  <si>
    <t xml:space="preserve">GARCH long-run vol (annualized)</t>
  </si>
  <si>
    <t xml:space="preserve">45.83%</t>
  </si>
  <si>
    <t xml:space="preserve">CAPM cost of equity</t>
  </si>
  <si>
    <t xml:space="preserve">10.45%</t>
  </si>
  <si>
    <t xml:space="preserve">APT cost of equity</t>
  </si>
  <si>
    <t xml:space="preserve">10.15%</t>
  </si>
  <si>
    <t xml:space="preserve">Optimal D/V leverage</t>
  </si>
  <si>
    <t xml:space="preserve">30%</t>
  </si>
  <si>
    <t xml:space="preserve">8.97%</t>
  </si>
  <si>
    <t xml:space="preserve">Tax shield value at optimum</t>
  </si>
  <si>
    <t xml:space="preserve">$8.04 B</t>
  </si>
  <si>
    <t xml:space="preserve">Real Option value (delay)</t>
  </si>
  <si>
    <t xml:space="preserve">$681 M</t>
  </si>
  <si>
    <t xml:space="preserve">Real Option time value</t>
  </si>
  <si>
    <t xml:space="preserve">$281 M</t>
  </si>
  <si>
    <t xml:space="preserve">value of waiting</t>
  </si>
  <si>
    <t xml:space="preserve">Project NPV at base WACC</t>
  </si>
  <si>
    <t xml:space="preserve">($64 M)</t>
  </si>
  <si>
    <t xml:space="preserve">marginally negative</t>
  </si>
  <si>
    <t xml:space="preserve">Project IRR (base case)</t>
  </si>
  <si>
    <t xml:space="preserve">8.20%</t>
  </si>
  <si>
    <t xml:space="preserve">PoD at D/V=40%, MED vol</t>
  </si>
  <si>
    <t xml:space="preserve">0.45%</t>
  </si>
  <si>
    <t xml:space="preserve">low</t>
  </si>
  <si>
    <t xml:space="preserve">PoD at D/V=60%, MED vol</t>
  </si>
  <si>
    <t xml:space="preserve">62.69%</t>
  </si>
  <si>
    <t xml:space="preserve">non-investable</t>
  </si>
  <si>
    <t xml:space="preserve">RECOMMENDATION (PYRAMID PRINCIPLE)</t>
  </si>
  <si>
    <t xml:space="preserve">Top of pyramid</t>
  </si>
  <si>
    <t xml:space="preserve">Adopt D/V = 30%-35% as optimal capital structure. Defer the $2B project by ~6 months to capture the $281M time value and re-evaluate after vol clarifies. Current D/V (~26%) is already near-optimal; the project itself is the bigger decision.</t>
  </si>
  <si>
    <t xml:space="preserve">Supporting #1 (PRICING)</t>
  </si>
  <si>
    <t xml:space="preserve">Cost of equity converges between CAPM (10.45%) and APT (10.15%). The 30bp gap reflects EnergyCo's negative beta on Brent vol. WACC bottoms at 8.97% at D/V=30%.</t>
  </si>
  <si>
    <t xml:space="preserve">Supporting #2 (CAPITAL STRUCTURE)</t>
  </si>
  <si>
    <t xml:space="preserve">MM tax shield benefit is $2.08B at D/V=10%, rising to $8.04B at D/V=30%. Beyond D/V=30%, distress premium on debt (kicks in above D/V=30%) and rising levered beta push WACC back up. Tax shield gains are dwarfed by financing-cost increases above D/V=40%.</t>
  </si>
  <si>
    <t xml:space="preserve">Supporting #3 (RISK)</t>
  </si>
  <si>
    <t xml:space="preserve">Merton PoD non-linearity: &lt;1% at D/V=40% even in CRISIS vol; jumps to 14% at D/V=50%, 63% at D/V=60%. The 'cliff' between 50%-60% is sharp - no leverage above 50% is defensible for a BBB-rated firm with this commodity exposure.</t>
  </si>
  <si>
    <t xml:space="preserve">Supporting #4 (REAL OPTION)</t>
  </si>
  <si>
    <t xml:space="preserve">Brent's 45.83% long-run vol gives the option to delay $281M of time value above the $400M intrinsic NPV. The decision-rule: invest immediately UNLESS competitive pressure or time-decay exceeds ~$23M/month.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</si>
</sst>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\$#,##0"/>
    <numFmt numFmtId="167" formatCode="0.000"/>
    <numFmt numFmtId="168" formatCode="0.0"/>
    <numFmt numFmtId="169" formatCode="0.0000"/>
    <numFmt numFmtId="170" formatCode="0.000000"/>
    <numFmt numFmtId="171" formatCode="0.0%"/>
    <numFmt numFmtId="172" formatCode="0.00"/>
    <numFmt numFmtId="173" formatCode="\+0.00%;\-0.00%;0"/>
    <numFmt numFmtId="174" formatCode="0%"/>
    <numFmt numFmtId="175" formatCode="0"/>
    <numFmt numFmtId="176" formatCode="\$#,##0;&quot;($&quot;#,##0\)"/>
    <numFmt numFmtId="177" formatCode="\$#,##0;[RED]&quot;($&quot;#,##0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CC"/>
      </patternFill>
    </fill>
    <fill>
      <patternFill patternType="solid">
        <fgColor rgb="FF2E7D7D"/>
        <bgColor rgb="FF2E7D32"/>
      </patternFill>
    </fill>
    <fill>
      <patternFill patternType="solid">
        <fgColor rgb="FFF5F5F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07A1F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FFCCCC"/>
        <bgColor rgb="FFFFE699"/>
      </patternFill>
    </fill>
    <fill>
      <patternFill patternType="solid">
        <fgColor rgb="FF2E7D32"/>
        <bgColor rgb="FF2E7D7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32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07A1F"/>
      <rgbColor rgb="FF595959"/>
      <rgbColor rgb="FF969696"/>
      <rgbColor rgb="FF1F3864"/>
      <rgbColor rgb="FF2E7D7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0"/>
  </cols>
  <sheetData>
    <row r="2" customFormat="false" ht="21.7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1"/>
      <c r="C3" s="1"/>
    </row>
    <row r="4" customFormat="false" ht="21.75" hidden="false" customHeight="true" outlineLevel="0" collapsed="false">
      <c r="B4" s="1"/>
      <c r="C4" s="1"/>
    </row>
    <row r="5" customFormat="false" ht="15" hidden="false" customHeight="false" outlineLevel="0" collapsed="false">
      <c r="B5" s="2" t="s">
        <v>1</v>
      </c>
      <c r="C5" s="2"/>
    </row>
    <row r="7" customFormat="false" ht="17.35" hidden="false" customHeight="false" outlineLevel="0" collapsed="false">
      <c r="B7" s="3" t="s">
        <v>2</v>
      </c>
      <c r="C7" s="3"/>
    </row>
    <row r="8" customFormat="false" ht="75" hidden="false" customHeight="true" outlineLevel="0" collapsed="false">
      <c r="B8" s="4" t="s">
        <v>3</v>
      </c>
      <c r="C8" s="4"/>
    </row>
    <row r="10" customFormat="false" ht="17.35" hidden="false" customHeight="false" outlineLevel="0" collapsed="false">
      <c r="B10" s="3" t="s">
        <v>4</v>
      </c>
      <c r="C10" s="3"/>
    </row>
    <row r="11" customFormat="false" ht="15" hidden="false" customHeight="false" outlineLevel="0" collapsed="false">
      <c r="B11" s="5" t="s">
        <v>5</v>
      </c>
      <c r="C11" s="6" t="s">
        <v>6</v>
      </c>
    </row>
    <row r="12" customFormat="false" ht="15" hidden="false" customHeight="false" outlineLevel="0" collapsed="false">
      <c r="B12" s="5" t="s">
        <v>7</v>
      </c>
      <c r="C12" s="6" t="s">
        <v>8</v>
      </c>
    </row>
    <row r="13" customFormat="false" ht="15" hidden="false" customHeight="false" outlineLevel="0" collapsed="false">
      <c r="B13" s="5" t="s">
        <v>9</v>
      </c>
      <c r="C13" s="6" t="s">
        <v>10</v>
      </c>
    </row>
    <row r="14" customFormat="false" ht="15" hidden="false" customHeight="false" outlineLevel="0" collapsed="false">
      <c r="B14" s="5" t="s">
        <v>11</v>
      </c>
      <c r="C14" s="6" t="s">
        <v>12</v>
      </c>
    </row>
    <row r="15" customFormat="false" ht="15" hidden="false" customHeight="false" outlineLevel="0" collapsed="false">
      <c r="B15" s="5" t="s">
        <v>13</v>
      </c>
      <c r="C15" s="6" t="s">
        <v>14</v>
      </c>
    </row>
    <row r="17" customFormat="false" ht="17.35" hidden="false" customHeight="false" outlineLevel="0" collapsed="false">
      <c r="B17" s="3" t="s">
        <v>15</v>
      </c>
      <c r="C17" s="3"/>
    </row>
    <row r="18" customFormat="false" ht="15" hidden="false" customHeight="false" outlineLevel="0" collapsed="false">
      <c r="B18" s="5" t="s">
        <v>16</v>
      </c>
      <c r="C18" s="6" t="s">
        <v>17</v>
      </c>
    </row>
    <row r="19" customFormat="false" ht="15" hidden="false" customHeight="false" outlineLevel="0" collapsed="false">
      <c r="B19" s="5" t="s">
        <v>18</v>
      </c>
      <c r="C19" s="6" t="s">
        <v>19</v>
      </c>
    </row>
    <row r="20" customFormat="false" ht="15" hidden="false" customHeight="false" outlineLevel="0" collapsed="false">
      <c r="B20" s="5" t="s">
        <v>20</v>
      </c>
      <c r="C20" s="6" t="s">
        <v>21</v>
      </c>
    </row>
    <row r="21" customFormat="false" ht="15" hidden="false" customHeight="false" outlineLevel="0" collapsed="false">
      <c r="B21" s="5" t="s">
        <v>22</v>
      </c>
      <c r="C21" s="6" t="s">
        <v>23</v>
      </c>
    </row>
    <row r="22" customFormat="false" ht="15" hidden="false" customHeight="false" outlineLevel="0" collapsed="false">
      <c r="B22" s="5" t="s">
        <v>24</v>
      </c>
      <c r="C22" s="6" t="s">
        <v>25</v>
      </c>
    </row>
    <row r="23" customFormat="false" ht="15" hidden="false" customHeight="false" outlineLevel="0" collapsed="false">
      <c r="B23" s="5" t="s">
        <v>26</v>
      </c>
      <c r="C23" s="6" t="s">
        <v>27</v>
      </c>
    </row>
    <row r="24" customFormat="false" ht="15" hidden="false" customHeight="false" outlineLevel="0" collapsed="false">
      <c r="B24" s="5" t="s">
        <v>28</v>
      </c>
      <c r="C24" s="6" t="s">
        <v>29</v>
      </c>
    </row>
    <row r="26" customFormat="false" ht="17.35" hidden="false" customHeight="false" outlineLevel="0" collapsed="false">
      <c r="B26" s="3" t="s">
        <v>30</v>
      </c>
      <c r="C26" s="3"/>
    </row>
    <row r="27" customFormat="false" ht="99.75" hidden="false" customHeight="true" outlineLevel="0" collapsed="false">
      <c r="B27" s="7" t="s">
        <v>31</v>
      </c>
      <c r="C27" s="7"/>
    </row>
  </sheetData>
  <mergeCells count="8">
    <mergeCell ref="B2:C4"/>
    <mergeCell ref="B5:C5"/>
    <mergeCell ref="B7:C7"/>
    <mergeCell ref="B8:C8"/>
    <mergeCell ref="B10:C10"/>
    <mergeCell ref="B17:C17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50"/>
  </cols>
  <sheetData>
    <row r="2" customFormat="false" ht="30" hidden="false" customHeight="true" outlineLevel="0" collapsed="false">
      <c r="B2" s="8" t="s">
        <v>32</v>
      </c>
      <c r="C2" s="8"/>
      <c r="D2" s="8"/>
      <c r="E2" s="8"/>
    </row>
    <row r="4" customFormat="false" ht="15" hidden="false" customHeight="false" outlineLevel="0" collapsed="false">
      <c r="B4" s="9" t="s">
        <v>33</v>
      </c>
      <c r="C4" s="9"/>
      <c r="D4" s="9"/>
      <c r="E4" s="9"/>
    </row>
    <row r="5" customFormat="false" ht="15" hidden="false" customHeight="false" outlineLevel="0" collapsed="false">
      <c r="B5" s="10" t="s">
        <v>34</v>
      </c>
      <c r="C5" s="10" t="s">
        <v>35</v>
      </c>
      <c r="D5" s="10" t="s">
        <v>36</v>
      </c>
      <c r="E5" s="10" t="s">
        <v>37</v>
      </c>
    </row>
    <row r="6" customFormat="false" ht="15" hidden="false" customHeight="false" outlineLevel="0" collapsed="false">
      <c r="B6" s="11" t="s">
        <v>38</v>
      </c>
      <c r="C6" s="12" t="n">
        <v>0.045</v>
      </c>
      <c r="D6" s="13" t="s">
        <v>39</v>
      </c>
      <c r="E6" s="13" t="s">
        <v>40</v>
      </c>
    </row>
    <row r="7" customFormat="false" ht="15" hidden="false" customHeight="false" outlineLevel="0" collapsed="false">
      <c r="B7" s="11" t="s">
        <v>41</v>
      </c>
      <c r="C7" s="12" t="n">
        <v>0.07</v>
      </c>
      <c r="D7" s="13" t="s">
        <v>39</v>
      </c>
      <c r="E7" s="13" t="s">
        <v>42</v>
      </c>
    </row>
    <row r="8" customFormat="false" ht="15" hidden="false" customHeight="false" outlineLevel="0" collapsed="false">
      <c r="B8" s="11" t="s">
        <v>43</v>
      </c>
      <c r="C8" s="14" t="n">
        <v>0.02</v>
      </c>
      <c r="D8" s="13" t="s">
        <v>39</v>
      </c>
      <c r="E8" s="13" t="s">
        <v>44</v>
      </c>
    </row>
    <row r="9" customFormat="false" ht="15" hidden="false" customHeight="false" outlineLevel="0" collapsed="false">
      <c r="B9" s="11" t="s">
        <v>45</v>
      </c>
      <c r="C9" s="12" t="n">
        <v>0.25</v>
      </c>
      <c r="D9" s="13" t="s">
        <v>39</v>
      </c>
      <c r="E9" s="13" t="s">
        <v>46</v>
      </c>
    </row>
    <row r="11" customFormat="false" ht="15" hidden="false" customHeight="false" outlineLevel="0" collapsed="false">
      <c r="B11" s="9" t="s">
        <v>47</v>
      </c>
      <c r="C11" s="9"/>
      <c r="D11" s="9"/>
      <c r="E11" s="9"/>
    </row>
    <row r="12" customFormat="false" ht="15" hidden="false" customHeight="false" outlineLevel="0" collapsed="false">
      <c r="B12" s="11" t="s">
        <v>48</v>
      </c>
      <c r="C12" s="15" t="n">
        <v>50000000000</v>
      </c>
      <c r="D12" s="13" t="s">
        <v>49</v>
      </c>
      <c r="E12" s="13" t="s">
        <v>50</v>
      </c>
    </row>
    <row r="13" customFormat="false" ht="15" hidden="false" customHeight="false" outlineLevel="0" collapsed="false">
      <c r="B13" s="11" t="s">
        <v>51</v>
      </c>
      <c r="C13" s="14" t="n">
        <v>0.28</v>
      </c>
      <c r="D13" s="13" t="s">
        <v>39</v>
      </c>
      <c r="E13" s="13" t="s">
        <v>52</v>
      </c>
    </row>
    <row r="14" customFormat="false" ht="15" hidden="false" customHeight="false" outlineLevel="0" collapsed="false">
      <c r="B14" s="11" t="s">
        <v>53</v>
      </c>
      <c r="C14" s="15" t="n">
        <v>3500000000</v>
      </c>
      <c r="D14" s="13" t="s">
        <v>49</v>
      </c>
      <c r="E14" s="13" t="s">
        <v>54</v>
      </c>
    </row>
    <row r="15" customFormat="false" ht="15" hidden="false" customHeight="false" outlineLevel="0" collapsed="false">
      <c r="B15" s="11" t="s">
        <v>55</v>
      </c>
      <c r="C15" s="15" t="n">
        <v>4000000000</v>
      </c>
      <c r="D15" s="13" t="s">
        <v>49</v>
      </c>
      <c r="E15" s="13" t="s">
        <v>56</v>
      </c>
    </row>
    <row r="16" customFormat="false" ht="15" hidden="false" customHeight="false" outlineLevel="0" collapsed="false">
      <c r="B16" s="11" t="s">
        <v>57</v>
      </c>
      <c r="C16" s="14" t="n">
        <v>0.065</v>
      </c>
      <c r="D16" s="13" t="s">
        <v>39</v>
      </c>
      <c r="E16" s="13" t="s">
        <v>58</v>
      </c>
    </row>
    <row r="17" customFormat="false" ht="15" hidden="false" customHeight="false" outlineLevel="0" collapsed="false">
      <c r="B17" s="11" t="s">
        <v>59</v>
      </c>
      <c r="C17" s="16" t="n">
        <v>0.85</v>
      </c>
      <c r="D17" s="13" t="s">
        <v>60</v>
      </c>
      <c r="E17" s="13" t="s">
        <v>61</v>
      </c>
    </row>
    <row r="18" customFormat="false" ht="15" hidden="false" customHeight="false" outlineLevel="0" collapsed="false">
      <c r="B18" s="11" t="s">
        <v>62</v>
      </c>
      <c r="C18" s="17" t="n">
        <v>0.55</v>
      </c>
      <c r="D18" s="13" t="s">
        <v>60</v>
      </c>
      <c r="E18" s="13" t="s">
        <v>63</v>
      </c>
    </row>
    <row r="19" customFormat="false" ht="15" hidden="false" customHeight="false" outlineLevel="0" collapsed="false">
      <c r="B19" s="11" t="s">
        <v>64</v>
      </c>
      <c r="C19" s="15" t="n">
        <v>75000000000</v>
      </c>
      <c r="D19" s="13" t="s">
        <v>49</v>
      </c>
      <c r="E19" s="13" t="s">
        <v>65</v>
      </c>
    </row>
    <row r="21" customFormat="false" ht="15" hidden="false" customHeight="false" outlineLevel="0" collapsed="false">
      <c r="B21" s="9" t="s">
        <v>66</v>
      </c>
      <c r="C21" s="9"/>
      <c r="D21" s="9"/>
      <c r="E21" s="9"/>
    </row>
    <row r="22" customFormat="false" ht="15" hidden="false" customHeight="false" outlineLevel="0" collapsed="false">
      <c r="B22" s="11" t="s">
        <v>67</v>
      </c>
      <c r="C22" s="15" t="n">
        <v>2000000000</v>
      </c>
      <c r="D22" s="13" t="s">
        <v>49</v>
      </c>
      <c r="E22" s="13" t="s">
        <v>68</v>
      </c>
    </row>
    <row r="23" customFormat="false" ht="15" hidden="false" customHeight="false" outlineLevel="0" collapsed="false">
      <c r="B23" s="11" t="s">
        <v>69</v>
      </c>
      <c r="C23" s="15" t="n">
        <v>400000000</v>
      </c>
      <c r="D23" s="13" t="s">
        <v>49</v>
      </c>
      <c r="E23" s="13" t="s">
        <v>70</v>
      </c>
    </row>
    <row r="24" customFormat="false" ht="15" hidden="false" customHeight="false" outlineLevel="0" collapsed="false">
      <c r="B24" s="11" t="s">
        <v>71</v>
      </c>
      <c r="C24" s="14" t="n">
        <v>0.05</v>
      </c>
      <c r="D24" s="13" t="s">
        <v>39</v>
      </c>
      <c r="E24" s="13" t="s">
        <v>72</v>
      </c>
    </row>
    <row r="25" customFormat="false" ht="15" hidden="false" customHeight="false" outlineLevel="0" collapsed="false">
      <c r="B25" s="11" t="s">
        <v>73</v>
      </c>
      <c r="C25" s="14" t="n">
        <v>0.1</v>
      </c>
      <c r="D25" s="13" t="s">
        <v>39</v>
      </c>
      <c r="E25" s="13" t="s">
        <v>74</v>
      </c>
    </row>
    <row r="26" customFormat="false" ht="15" hidden="false" customHeight="false" outlineLevel="0" collapsed="false">
      <c r="B26" s="11" t="s">
        <v>75</v>
      </c>
      <c r="C26" s="15" t="n">
        <v>200000000</v>
      </c>
      <c r="D26" s="13" t="s">
        <v>49</v>
      </c>
      <c r="E26" s="13" t="s">
        <v>76</v>
      </c>
    </row>
    <row r="27" customFormat="false" ht="15" hidden="false" customHeight="false" outlineLevel="0" collapsed="false">
      <c r="B27" s="11" t="s">
        <v>77</v>
      </c>
      <c r="C27" s="18" t="n">
        <v>2400000000</v>
      </c>
      <c r="D27" s="13" t="s">
        <v>49</v>
      </c>
      <c r="E27" s="13" t="s">
        <v>78</v>
      </c>
    </row>
    <row r="28" customFormat="false" ht="15" hidden="false" customHeight="false" outlineLevel="0" collapsed="false">
      <c r="B28" s="11" t="s">
        <v>79</v>
      </c>
      <c r="C28" s="19" t="n">
        <v>1</v>
      </c>
      <c r="D28" s="13" t="s">
        <v>80</v>
      </c>
      <c r="E28" s="13" t="s">
        <v>81</v>
      </c>
    </row>
    <row r="30" customFormat="false" ht="15" hidden="false" customHeight="false" outlineLevel="0" collapsed="false">
      <c r="B30" s="9" t="s">
        <v>82</v>
      </c>
      <c r="C30" s="9"/>
      <c r="D30" s="9"/>
      <c r="E30" s="9"/>
    </row>
    <row r="31" customFormat="false" ht="15" hidden="false" customHeight="false" outlineLevel="0" collapsed="false">
      <c r="B31" s="11" t="s">
        <v>83</v>
      </c>
      <c r="C31" s="20" t="n">
        <v>0.993</v>
      </c>
      <c r="D31" s="13" t="s">
        <v>60</v>
      </c>
      <c r="E31" s="13" t="s">
        <v>84</v>
      </c>
    </row>
    <row r="32" customFormat="false" ht="15" hidden="false" customHeight="false" outlineLevel="0" collapsed="false">
      <c r="B32" s="11" t="s">
        <v>85</v>
      </c>
      <c r="C32" s="21" t="n">
        <v>99.2</v>
      </c>
      <c r="D32" s="13" t="s">
        <v>86</v>
      </c>
      <c r="E32" s="13" t="s">
        <v>87</v>
      </c>
    </row>
    <row r="33" customFormat="false" ht="15" hidden="false" customHeight="false" outlineLevel="0" collapsed="false">
      <c r="B33" s="11" t="s">
        <v>88</v>
      </c>
      <c r="C33" s="22" t="n">
        <v>0.4583</v>
      </c>
      <c r="D33" s="13" t="s">
        <v>39</v>
      </c>
      <c r="E33" s="13" t="s">
        <v>89</v>
      </c>
    </row>
    <row r="34" customFormat="false" ht="15" hidden="false" customHeight="false" outlineLevel="0" collapsed="false">
      <c r="B34" s="11" t="s">
        <v>90</v>
      </c>
      <c r="C34" s="23" t="n">
        <v>0.4053</v>
      </c>
      <c r="D34" s="13" t="s">
        <v>39</v>
      </c>
      <c r="E34" s="13" t="s">
        <v>91</v>
      </c>
    </row>
    <row r="35" customFormat="false" ht="15" hidden="false" customHeight="false" outlineLevel="0" collapsed="false">
      <c r="B35" s="11" t="s">
        <v>92</v>
      </c>
      <c r="C35" s="20" t="n">
        <v>5.87</v>
      </c>
      <c r="D35" s="13" t="s">
        <v>60</v>
      </c>
      <c r="E35" s="13" t="s">
        <v>93</v>
      </c>
    </row>
    <row r="36" customFormat="false" ht="15" hidden="false" customHeight="false" outlineLevel="0" collapsed="false">
      <c r="B36" s="11" t="s">
        <v>94</v>
      </c>
      <c r="C36" s="23" t="n">
        <v>0.4164</v>
      </c>
      <c r="D36" s="13" t="s">
        <v>39</v>
      </c>
      <c r="E36" s="13" t="s">
        <v>95</v>
      </c>
    </row>
  </sheetData>
  <mergeCells count="5">
    <mergeCell ref="B2:E2"/>
    <mergeCell ref="B4:E4"/>
    <mergeCell ref="B11:E11"/>
    <mergeCell ref="B21:E21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16"/>
  </cols>
  <sheetData>
    <row r="2" customFormat="false" ht="30" hidden="false" customHeight="true" outlineLevel="0" collapsed="false">
      <c r="B2" s="8" t="s">
        <v>96</v>
      </c>
      <c r="C2" s="8"/>
      <c r="D2" s="8"/>
      <c r="E2" s="8"/>
      <c r="F2" s="8"/>
    </row>
    <row r="4" customFormat="false" ht="36" hidden="false" customHeight="true" outlineLevel="0" collapsed="false">
      <c r="B4" s="24" t="s">
        <v>97</v>
      </c>
      <c r="C4" s="24"/>
      <c r="D4" s="24"/>
      <c r="E4" s="24"/>
      <c r="F4" s="24"/>
    </row>
    <row r="6" customFormat="false" ht="17.35" hidden="false" customHeight="false" outlineLevel="0" collapsed="false">
      <c r="B6" s="25" t="s">
        <v>98</v>
      </c>
      <c r="C6" s="25"/>
      <c r="D6" s="25"/>
      <c r="E6" s="25"/>
      <c r="F6" s="25"/>
    </row>
    <row r="7" customFormat="false" ht="15" hidden="false" customHeight="false" outlineLevel="0" collapsed="false">
      <c r="B7" s="26" t="s">
        <v>34</v>
      </c>
      <c r="C7" s="26" t="s">
        <v>35</v>
      </c>
      <c r="D7" s="26" t="s">
        <v>36</v>
      </c>
      <c r="E7" s="26" t="s">
        <v>37</v>
      </c>
    </row>
    <row r="8" customFormat="false" ht="15" hidden="false" customHeight="false" outlineLevel="0" collapsed="false">
      <c r="B8" s="11" t="s">
        <v>99</v>
      </c>
      <c r="C8" s="27" t="n">
        <v>0.058018</v>
      </c>
      <c r="D8" s="13" t="s">
        <v>100</v>
      </c>
      <c r="E8" s="28" t="s">
        <v>101</v>
      </c>
      <c r="F8" s="28"/>
    </row>
    <row r="9" customFormat="false" ht="15" hidden="false" customHeight="false" outlineLevel="0" collapsed="false">
      <c r="B9" s="11" t="s">
        <v>102</v>
      </c>
      <c r="C9" s="29" t="n">
        <v>0.0831</v>
      </c>
      <c r="D9" s="13" t="s">
        <v>60</v>
      </c>
      <c r="E9" s="28" t="s">
        <v>103</v>
      </c>
      <c r="F9" s="28"/>
    </row>
    <row r="10" customFormat="false" ht="15" hidden="false" customHeight="false" outlineLevel="0" collapsed="false">
      <c r="B10" s="11" t="s">
        <v>104</v>
      </c>
      <c r="C10" s="29" t="n">
        <v>0.91</v>
      </c>
      <c r="D10" s="13" t="s">
        <v>60</v>
      </c>
      <c r="E10" s="28" t="s">
        <v>105</v>
      </c>
      <c r="F10" s="28"/>
    </row>
    <row r="11" customFormat="false" ht="15" hidden="false" customHeight="false" outlineLevel="0" collapsed="false">
      <c r="B11" s="11" t="s">
        <v>83</v>
      </c>
      <c r="C11" s="29" t="n">
        <v>0.993</v>
      </c>
      <c r="D11" s="13" t="s">
        <v>60</v>
      </c>
      <c r="E11" s="28" t="s">
        <v>106</v>
      </c>
      <c r="F11" s="28"/>
    </row>
    <row r="12" customFormat="false" ht="15" hidden="false" customHeight="false" outlineLevel="0" collapsed="false">
      <c r="B12" s="11" t="s">
        <v>85</v>
      </c>
      <c r="C12" s="30" t="n">
        <v>99.2</v>
      </c>
      <c r="D12" s="13" t="s">
        <v>86</v>
      </c>
      <c r="E12" s="28" t="s">
        <v>107</v>
      </c>
      <c r="F12" s="28"/>
    </row>
    <row r="13" customFormat="false" ht="15" hidden="false" customHeight="false" outlineLevel="0" collapsed="false">
      <c r="B13" s="11" t="s">
        <v>108</v>
      </c>
      <c r="C13" s="31" t="n">
        <v>0.4583</v>
      </c>
      <c r="D13" s="13" t="s">
        <v>39</v>
      </c>
      <c r="E13" s="28" t="s">
        <v>109</v>
      </c>
      <c r="F13" s="28"/>
    </row>
    <row r="14" customFormat="false" ht="15" hidden="false" customHeight="false" outlineLevel="0" collapsed="false">
      <c r="B14" s="11" t="s">
        <v>110</v>
      </c>
      <c r="C14" s="32" t="n">
        <v>0.4053</v>
      </c>
      <c r="D14" s="13" t="s">
        <v>39</v>
      </c>
      <c r="E14" s="28" t="s">
        <v>111</v>
      </c>
      <c r="F14" s="28"/>
    </row>
    <row r="15" customFormat="false" ht="15" hidden="false" customHeight="false" outlineLevel="0" collapsed="false">
      <c r="B15" s="11" t="s">
        <v>92</v>
      </c>
      <c r="C15" s="29" t="n">
        <v>5.87</v>
      </c>
      <c r="D15" s="13" t="s">
        <v>60</v>
      </c>
      <c r="E15" s="28" t="s">
        <v>93</v>
      </c>
      <c r="F15" s="28"/>
    </row>
    <row r="16" customFormat="false" ht="15" hidden="false" customHeight="false" outlineLevel="0" collapsed="false">
      <c r="B16" s="11" t="s">
        <v>112</v>
      </c>
      <c r="C16" s="29" t="n">
        <v>-19026</v>
      </c>
      <c r="D16" s="13" t="s">
        <v>60</v>
      </c>
      <c r="E16" s="28" t="s">
        <v>113</v>
      </c>
      <c r="F16" s="28"/>
    </row>
    <row r="17" customFormat="false" ht="15" hidden="false" customHeight="false" outlineLevel="0" collapsed="false">
      <c r="B17" s="11" t="s">
        <v>114</v>
      </c>
      <c r="C17" s="29" t="n">
        <v>38063</v>
      </c>
      <c r="D17" s="13" t="s">
        <v>60</v>
      </c>
      <c r="E17" s="28" t="s">
        <v>115</v>
      </c>
      <c r="F17" s="28"/>
    </row>
    <row r="18" customFormat="false" ht="15" hidden="false" customHeight="false" outlineLevel="0" collapsed="false">
      <c r="B18" s="11" t="s">
        <v>116</v>
      </c>
      <c r="C18" s="29" t="n">
        <v>38098</v>
      </c>
      <c r="D18" s="13" t="s">
        <v>60</v>
      </c>
      <c r="E18" s="28" t="s">
        <v>115</v>
      </c>
      <c r="F18" s="28"/>
    </row>
    <row r="20" customFormat="false" ht="17.35" hidden="false" customHeight="false" outlineLevel="0" collapsed="false">
      <c r="B20" s="25" t="s">
        <v>117</v>
      </c>
      <c r="C20" s="25"/>
      <c r="D20" s="25"/>
      <c r="E20" s="25"/>
      <c r="F20" s="25"/>
    </row>
    <row r="21" customFormat="false" ht="15" hidden="false" customHeight="false" outlineLevel="0" collapsed="false">
      <c r="B21" s="26" t="s">
        <v>118</v>
      </c>
      <c r="C21" s="26" t="s">
        <v>119</v>
      </c>
      <c r="D21" s="26" t="s">
        <v>120</v>
      </c>
      <c r="E21" s="26" t="s">
        <v>121</v>
      </c>
      <c r="F21" s="26" t="s">
        <v>122</v>
      </c>
    </row>
    <row r="22" customFormat="false" ht="15" hidden="false" customHeight="false" outlineLevel="0" collapsed="false">
      <c r="B22" s="33" t="s">
        <v>123</v>
      </c>
      <c r="C22" s="34" t="n">
        <v>0</v>
      </c>
      <c r="D22" s="34" t="n">
        <v>0.28</v>
      </c>
      <c r="E22" s="35" t="s">
        <v>124</v>
      </c>
      <c r="F22" s="13" t="s">
        <v>125</v>
      </c>
    </row>
    <row r="23" customFormat="false" ht="15" hidden="false" customHeight="false" outlineLevel="0" collapsed="false">
      <c r="B23" s="33" t="s">
        <v>126</v>
      </c>
      <c r="C23" s="34" t="n">
        <v>0.28</v>
      </c>
      <c r="D23" s="34" t="n">
        <v>0.37</v>
      </c>
      <c r="E23" s="35" t="s">
        <v>127</v>
      </c>
      <c r="F23" s="13" t="s">
        <v>128</v>
      </c>
    </row>
    <row r="24" customFormat="false" ht="15" hidden="false" customHeight="false" outlineLevel="0" collapsed="false">
      <c r="B24" s="33" t="s">
        <v>129</v>
      </c>
      <c r="C24" s="34" t="n">
        <v>0.37</v>
      </c>
      <c r="D24" s="34" t="n">
        <v>0.6</v>
      </c>
      <c r="E24" s="35" t="s">
        <v>130</v>
      </c>
      <c r="F24" s="13" t="s">
        <v>131</v>
      </c>
    </row>
    <row r="25" customFormat="false" ht="15" hidden="false" customHeight="false" outlineLevel="0" collapsed="false">
      <c r="B25" s="33" t="s">
        <v>132</v>
      </c>
      <c r="C25" s="34" t="n">
        <v>0.6</v>
      </c>
      <c r="D25" s="34"/>
      <c r="E25" s="35" t="s">
        <v>133</v>
      </c>
      <c r="F25" s="13" t="s">
        <v>134</v>
      </c>
    </row>
  </sheetData>
  <mergeCells count="15">
    <mergeCell ref="B2:F2"/>
    <mergeCell ref="B4:F4"/>
    <mergeCell ref="B6:F6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8"/>
  </cols>
  <sheetData>
    <row r="2" customFormat="false" ht="30" hidden="false" customHeight="true" outlineLevel="0" collapsed="false">
      <c r="B2" s="8" t="s">
        <v>135</v>
      </c>
      <c r="C2" s="8"/>
      <c r="D2" s="8"/>
      <c r="E2" s="8"/>
    </row>
    <row r="4" customFormat="false" ht="39.75" hidden="false" customHeight="true" outlineLevel="0" collapsed="false">
      <c r="B4" s="24" t="s">
        <v>136</v>
      </c>
      <c r="C4" s="24"/>
      <c r="D4" s="24"/>
      <c r="E4" s="24"/>
    </row>
    <row r="6" customFormat="false" ht="17.35" hidden="false" customHeight="false" outlineLevel="0" collapsed="false">
      <c r="B6" s="25" t="s">
        <v>137</v>
      </c>
      <c r="C6" s="25"/>
      <c r="D6" s="25"/>
      <c r="E6" s="25"/>
    </row>
    <row r="7" customFormat="false" ht="15" hidden="false" customHeight="false" outlineLevel="0" collapsed="false">
      <c r="B7" s="11" t="s">
        <v>138</v>
      </c>
      <c r="C7" s="36" t="n">
        <f aca="false">Rf</f>
        <v>0.045</v>
      </c>
    </row>
    <row r="8" customFormat="false" ht="15" hidden="false" customHeight="false" outlineLevel="0" collapsed="false">
      <c r="B8" s="11" t="s">
        <v>139</v>
      </c>
      <c r="C8" s="37" t="n">
        <f aca="false">Beta_Brent</f>
        <v>0.85</v>
      </c>
    </row>
    <row r="9" customFormat="false" ht="15" hidden="false" customHeight="false" outlineLevel="0" collapsed="false">
      <c r="B9" s="11" t="s">
        <v>140</v>
      </c>
      <c r="C9" s="38" t="n">
        <f aca="false">Brent_RP</f>
        <v>0.07</v>
      </c>
    </row>
    <row r="10" customFormat="false" ht="15" hidden="false" customHeight="false" outlineLevel="0" collapsed="false">
      <c r="B10" s="33" t="s">
        <v>141</v>
      </c>
      <c r="C10" s="39" t="n">
        <f aca="false">C7+C8*C9</f>
        <v>0.1045</v>
      </c>
    </row>
    <row r="12" customFormat="false" ht="17.35" hidden="false" customHeight="false" outlineLevel="0" collapsed="false">
      <c r="B12" s="25" t="s">
        <v>142</v>
      </c>
      <c r="C12" s="25"/>
      <c r="D12" s="25"/>
      <c r="E12" s="25"/>
    </row>
    <row r="13" customFormat="false" ht="15" hidden="false" customHeight="false" outlineLevel="0" collapsed="false">
      <c r="B13" s="11" t="s">
        <v>143</v>
      </c>
      <c r="C13" s="40" t="n">
        <v>0.85</v>
      </c>
    </row>
    <row r="14" customFormat="false" ht="15" hidden="false" customHeight="false" outlineLevel="0" collapsed="false">
      <c r="B14" s="11" t="s">
        <v>144</v>
      </c>
      <c r="C14" s="38" t="n">
        <f aca="false">Brent_RP</f>
        <v>0.07</v>
      </c>
    </row>
    <row r="15" customFormat="false" ht="15" hidden="false" customHeight="false" outlineLevel="0" collapsed="false">
      <c r="B15" s="11" t="s">
        <v>145</v>
      </c>
      <c r="C15" s="40" t="n">
        <v>-0.15</v>
      </c>
    </row>
    <row r="16" customFormat="false" ht="15" hidden="false" customHeight="false" outlineLevel="0" collapsed="false">
      <c r="B16" s="11" t="s">
        <v>146</v>
      </c>
      <c r="C16" s="38" t="n">
        <f aca="false">RP_vol</f>
        <v>0.02</v>
      </c>
    </row>
    <row r="17" customFormat="false" ht="15" hidden="false" customHeight="false" outlineLevel="0" collapsed="false">
      <c r="B17" s="33" t="s">
        <v>147</v>
      </c>
      <c r="C17" s="39" t="n">
        <f aca="false">Rf + C13*C14 + C15*C16</f>
        <v>0.1015</v>
      </c>
    </row>
    <row r="19" customFormat="false" ht="17.35" hidden="false" customHeight="false" outlineLevel="0" collapsed="false">
      <c r="B19" s="41" t="s">
        <v>148</v>
      </c>
      <c r="C19" s="41"/>
      <c r="D19" s="41"/>
      <c r="E19" s="41"/>
    </row>
    <row r="20" customFormat="false" ht="15" hidden="false" customHeight="false" outlineLevel="0" collapsed="false">
      <c r="B20" s="11" t="s">
        <v>149</v>
      </c>
      <c r="C20" s="36" t="n">
        <f aca="false">C10</f>
        <v>0.1045</v>
      </c>
    </row>
    <row r="21" customFormat="false" ht="15" hidden="false" customHeight="false" outlineLevel="0" collapsed="false">
      <c r="B21" s="11" t="s">
        <v>150</v>
      </c>
      <c r="C21" s="36" t="n">
        <f aca="false">C17</f>
        <v>0.1015</v>
      </c>
    </row>
    <row r="22" customFormat="false" ht="15" hidden="false" customHeight="false" outlineLevel="0" collapsed="false">
      <c r="B22" s="33" t="s">
        <v>151</v>
      </c>
      <c r="C22" s="42" t="n">
        <f aca="false">C21-C20</f>
        <v>-0.003</v>
      </c>
    </row>
  </sheetData>
  <mergeCells count="5">
    <mergeCell ref="B2:E2"/>
    <mergeCell ref="B4:E4"/>
    <mergeCell ref="B6:E6"/>
    <mergeCell ref="B12:E12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11" min="2" style="0" width="14"/>
  </cols>
  <sheetData>
    <row r="2" customFormat="false" ht="30" hidden="false" customHeight="true" outlineLevel="0" collapsed="false">
      <c r="B2" s="8" t="s">
        <v>152</v>
      </c>
      <c r="C2" s="8"/>
      <c r="D2" s="8"/>
      <c r="E2" s="8"/>
      <c r="F2" s="8"/>
      <c r="G2" s="8"/>
      <c r="H2" s="8"/>
      <c r="I2" s="8"/>
      <c r="J2" s="8"/>
      <c r="K2" s="8"/>
    </row>
    <row r="4" customFormat="false" ht="36" hidden="false" customHeight="true" outlineLevel="0" collapsed="false">
      <c r="B4" s="24" t="s">
        <v>153</v>
      </c>
      <c r="C4" s="24"/>
      <c r="D4" s="24"/>
      <c r="E4" s="24"/>
      <c r="F4" s="24"/>
      <c r="G4" s="24"/>
      <c r="H4" s="24"/>
      <c r="I4" s="24"/>
      <c r="J4" s="24"/>
      <c r="K4" s="24"/>
    </row>
    <row r="6" customFormat="false" ht="15" hidden="false" customHeight="false" outlineLevel="0" collapsed="false">
      <c r="B6" s="43" t="s">
        <v>154</v>
      </c>
      <c r="C6" s="43" t="s">
        <v>155</v>
      </c>
      <c r="D6" s="43" t="s">
        <v>156</v>
      </c>
      <c r="E6" s="43" t="s">
        <v>157</v>
      </c>
      <c r="F6" s="43" t="s">
        <v>158</v>
      </c>
      <c r="G6" s="43" t="s">
        <v>159</v>
      </c>
      <c r="H6" s="43" t="s">
        <v>160</v>
      </c>
      <c r="I6" s="43" t="s">
        <v>161</v>
      </c>
      <c r="J6" s="43" t="s">
        <v>162</v>
      </c>
      <c r="K6" s="43" t="s">
        <v>163</v>
      </c>
    </row>
    <row r="7" customFormat="false" ht="15" hidden="false" customHeight="false" outlineLevel="0" collapsed="false">
      <c r="B7" s="44" t="n">
        <v>0</v>
      </c>
      <c r="C7" s="45" t="n">
        <f aca="false">IF(B7&lt;1, B7/(1-B7), 0)</f>
        <v>0</v>
      </c>
      <c r="D7" s="46" t="n">
        <f aca="false">IF(B7&lt;1, V_Unlevered*B7/(1-B7)/1000000000, 0)</f>
        <v>0</v>
      </c>
      <c r="E7" s="45" t="n">
        <f aca="false">Tax_Rate*D7</f>
        <v>0</v>
      </c>
      <c r="F7" s="46" t="n">
        <f aca="false">V_Unlevered/1000000000+E7</f>
        <v>75</v>
      </c>
      <c r="G7" s="47" t="n">
        <f aca="false">0.673267326732673*(1+(1-Tax_Rate)*C7)</f>
        <v>0.673267326732673</v>
      </c>
      <c r="H7" s="48" t="n">
        <f aca="false">Rf+G7*Brent_RP</f>
        <v>0.0921287128712871</v>
      </c>
      <c r="I7" s="48" t="n">
        <f aca="false">Pre_Tax_Cod + IF(B7&gt;0.3, 0.02*(B7/0.5)^2, 0)</f>
        <v>0.065</v>
      </c>
      <c r="J7" s="48" t="n">
        <f aca="false">(1-B7)*H7 + B7*I7*(1-Tax_Rate)</f>
        <v>0.0921287128712871</v>
      </c>
      <c r="K7" s="49" t="n">
        <f aca="false">RANK(J7, $J$7:$J$14, 1)</f>
        <v>4</v>
      </c>
    </row>
    <row r="8" customFormat="false" ht="15" hidden="false" customHeight="false" outlineLevel="0" collapsed="false">
      <c r="B8" s="44" t="n">
        <v>0.1</v>
      </c>
      <c r="C8" s="45" t="n">
        <f aca="false">IF(B8&lt;1, B8/(1-B8), 0)</f>
        <v>0.111111111111111</v>
      </c>
      <c r="D8" s="46" t="n">
        <f aca="false">IF(B8&lt;1, V_Unlevered*B8/(1-B8)/1000000000, 0)</f>
        <v>8.33333333333333</v>
      </c>
      <c r="E8" s="45" t="n">
        <f aca="false">Tax_Rate*D8</f>
        <v>2.08333333333333</v>
      </c>
      <c r="F8" s="46" t="n">
        <f aca="false">V_Unlevered/1000000000+E8</f>
        <v>77.0833333333333</v>
      </c>
      <c r="G8" s="47" t="n">
        <f aca="false">0.673267326732673*(1+(1-Tax_Rate)*C8)</f>
        <v>0.729372937293729</v>
      </c>
      <c r="H8" s="48" t="n">
        <f aca="false">Rf+G8*Brent_RP</f>
        <v>0.0960561056105611</v>
      </c>
      <c r="I8" s="48" t="n">
        <f aca="false">Pre_Tax_Cod + IF(B8&gt;0.3, 0.02*(B8/0.5)^2, 0)</f>
        <v>0.065</v>
      </c>
      <c r="J8" s="48" t="n">
        <f aca="false">(1-B8)*H8 + B8*I8*(1-Tax_Rate)</f>
        <v>0.091325495049505</v>
      </c>
      <c r="K8" s="49" t="n">
        <f aca="false">RANK(J8, $J$7:$J$14, 1)</f>
        <v>3</v>
      </c>
    </row>
    <row r="9" customFormat="false" ht="15" hidden="false" customHeight="false" outlineLevel="0" collapsed="false">
      <c r="B9" s="44" t="n">
        <v>0.2</v>
      </c>
      <c r="C9" s="45" t="n">
        <f aca="false">IF(B9&lt;1, B9/(1-B9), 0)</f>
        <v>0.25</v>
      </c>
      <c r="D9" s="46" t="n">
        <f aca="false">IF(B9&lt;1, V_Unlevered*B9/(1-B9)/1000000000, 0)</f>
        <v>18.75</v>
      </c>
      <c r="E9" s="45" t="n">
        <f aca="false">Tax_Rate*D9</f>
        <v>4.6875</v>
      </c>
      <c r="F9" s="46" t="n">
        <f aca="false">V_Unlevered/1000000000+E9</f>
        <v>79.6875</v>
      </c>
      <c r="G9" s="47" t="n">
        <f aca="false">0.673267326732673*(1+(1-Tax_Rate)*C9)</f>
        <v>0.79950495049505</v>
      </c>
      <c r="H9" s="48" t="n">
        <f aca="false">Rf+G9*Brent_RP</f>
        <v>0.100965346534653</v>
      </c>
      <c r="I9" s="48" t="n">
        <f aca="false">Pre_Tax_Cod + IF(B9&gt;0.3, 0.02*(B9/0.5)^2, 0)</f>
        <v>0.065</v>
      </c>
      <c r="J9" s="48" t="n">
        <f aca="false">(1-B9)*H9 + B9*I9*(1-Tax_Rate)</f>
        <v>0.0905222772277228</v>
      </c>
      <c r="K9" s="49" t="n">
        <f aca="false">RANK(J9, $J$7:$J$14, 1)</f>
        <v>2</v>
      </c>
    </row>
    <row r="10" customFormat="false" ht="15" hidden="false" customHeight="false" outlineLevel="0" collapsed="false">
      <c r="B10" s="50" t="n">
        <v>0.3</v>
      </c>
      <c r="C10" s="45" t="n">
        <f aca="false">IF(B10&lt;1, B10/(1-B10), 0)</f>
        <v>0.428571428571429</v>
      </c>
      <c r="D10" s="46" t="n">
        <f aca="false">IF(B10&lt;1, V_Unlevered*B10/(1-B10)/1000000000, 0)</f>
        <v>32.1428571428571</v>
      </c>
      <c r="E10" s="45" t="n">
        <f aca="false">Tax_Rate*D10</f>
        <v>8.03571428571429</v>
      </c>
      <c r="F10" s="46" t="n">
        <f aca="false">V_Unlevered/1000000000+E10</f>
        <v>83.0357142857143</v>
      </c>
      <c r="G10" s="47" t="n">
        <f aca="false">0.673267326732673*(1+(1-Tax_Rate)*C10)</f>
        <v>0.88967468175389</v>
      </c>
      <c r="H10" s="48" t="n">
        <f aca="false">Rf+G10*Brent_RP</f>
        <v>0.107277227722772</v>
      </c>
      <c r="I10" s="48" t="n">
        <f aca="false">Pre_Tax_Cod + IF(B10&gt;0.3, 0.02*(B10/0.5)^2, 0)</f>
        <v>0.065</v>
      </c>
      <c r="J10" s="48" t="n">
        <f aca="false">(1-B10)*H10 + B10*I10*(1-Tax_Rate)</f>
        <v>0.0897190594059406</v>
      </c>
      <c r="K10" s="49" t="n">
        <f aca="false">RANK(J10, $J$7:$J$14, 1)</f>
        <v>1</v>
      </c>
    </row>
    <row r="11" customFormat="false" ht="15" hidden="false" customHeight="false" outlineLevel="0" collapsed="false">
      <c r="B11" s="44" t="n">
        <v>0.4</v>
      </c>
      <c r="C11" s="45" t="n">
        <f aca="false">IF(B11&lt;1, B11/(1-B11), 0)</f>
        <v>0.666666666666667</v>
      </c>
      <c r="D11" s="46" t="n">
        <f aca="false">IF(B11&lt;1, V_Unlevered*B11/(1-B11)/1000000000, 0)</f>
        <v>50</v>
      </c>
      <c r="E11" s="45" t="n">
        <f aca="false">Tax_Rate*D11</f>
        <v>12.5</v>
      </c>
      <c r="F11" s="46" t="n">
        <f aca="false">V_Unlevered/1000000000+E11</f>
        <v>87.5</v>
      </c>
      <c r="G11" s="47" t="n">
        <f aca="false">0.673267326732673*(1+(1-Tax_Rate)*C11)</f>
        <v>1.00990099009901</v>
      </c>
      <c r="H11" s="48" t="n">
        <f aca="false">Rf+G11*Brent_RP</f>
        <v>0.115693069306931</v>
      </c>
      <c r="I11" s="48" t="n">
        <f aca="false">Pre_Tax_Cod + IF(B11&gt;0.3, 0.02*(B11/0.5)^2, 0)</f>
        <v>0.0778</v>
      </c>
      <c r="J11" s="48" t="n">
        <f aca="false">(1-B11)*H11 + B11*I11*(1-Tax_Rate)</f>
        <v>0.0927558415841584</v>
      </c>
      <c r="K11" s="49" t="n">
        <f aca="false">RANK(J11, $J$7:$J$14, 1)</f>
        <v>5</v>
      </c>
    </row>
    <row r="12" customFormat="false" ht="15" hidden="false" customHeight="false" outlineLevel="0" collapsed="false">
      <c r="B12" s="44" t="n">
        <v>0.5</v>
      </c>
      <c r="C12" s="45" t="n">
        <f aca="false">IF(B12&lt;1, B12/(1-B12), 0)</f>
        <v>1</v>
      </c>
      <c r="D12" s="46" t="n">
        <f aca="false">IF(B12&lt;1, V_Unlevered*B12/(1-B12)/1000000000, 0)</f>
        <v>75</v>
      </c>
      <c r="E12" s="45" t="n">
        <f aca="false">Tax_Rate*D12</f>
        <v>18.75</v>
      </c>
      <c r="F12" s="46" t="n">
        <f aca="false">V_Unlevered/1000000000+E12</f>
        <v>93.75</v>
      </c>
      <c r="G12" s="47" t="n">
        <f aca="false">0.673267326732673*(1+(1-Tax_Rate)*C12)</f>
        <v>1.17821782178218</v>
      </c>
      <c r="H12" s="48" t="n">
        <f aca="false">Rf+G12*Brent_RP</f>
        <v>0.127475247524752</v>
      </c>
      <c r="I12" s="48" t="n">
        <f aca="false">Pre_Tax_Cod + IF(B12&gt;0.3, 0.02*(B12/0.5)^2, 0)</f>
        <v>0.085</v>
      </c>
      <c r="J12" s="48" t="n">
        <f aca="false">(1-B12)*H12 + B12*I12*(1-Tax_Rate)</f>
        <v>0.0956126237623762</v>
      </c>
      <c r="K12" s="49" t="n">
        <f aca="false">RANK(J12, $J$7:$J$14, 1)</f>
        <v>6</v>
      </c>
    </row>
    <row r="13" customFormat="false" ht="15" hidden="false" customHeight="false" outlineLevel="0" collapsed="false">
      <c r="B13" s="44" t="n">
        <v>0.6</v>
      </c>
      <c r="C13" s="45" t="n">
        <f aca="false">IF(B13&lt;1, B13/(1-B13), 0)</f>
        <v>1.5</v>
      </c>
      <c r="D13" s="46" t="n">
        <f aca="false">IF(B13&lt;1, V_Unlevered*B13/(1-B13)/1000000000, 0)</f>
        <v>112.5</v>
      </c>
      <c r="E13" s="45" t="n">
        <f aca="false">Tax_Rate*D13</f>
        <v>28.125</v>
      </c>
      <c r="F13" s="46" t="n">
        <f aca="false">V_Unlevered/1000000000+E13</f>
        <v>103.125</v>
      </c>
      <c r="G13" s="47" t="n">
        <f aca="false">0.673267326732673*(1+(1-Tax_Rate)*C13)</f>
        <v>1.43069306930693</v>
      </c>
      <c r="H13" s="48" t="n">
        <f aca="false">Rf+G13*Brent_RP</f>
        <v>0.145148514851485</v>
      </c>
      <c r="I13" s="48" t="n">
        <f aca="false">Pre_Tax_Cod + IF(B13&gt;0.3, 0.02*(B13/0.5)^2, 0)</f>
        <v>0.0938</v>
      </c>
      <c r="J13" s="48" t="n">
        <f aca="false">(1-B13)*H13 + B13*I13*(1-Tax_Rate)</f>
        <v>0.100269405940594</v>
      </c>
      <c r="K13" s="49" t="n">
        <f aca="false">RANK(J13, $J$7:$J$14, 1)</f>
        <v>7</v>
      </c>
    </row>
    <row r="14" customFormat="false" ht="15" hidden="false" customHeight="false" outlineLevel="0" collapsed="false">
      <c r="B14" s="44" t="n">
        <v>0.7</v>
      </c>
      <c r="C14" s="45" t="n">
        <f aca="false">IF(B14&lt;1, B14/(1-B14), 0)</f>
        <v>2.33333333333333</v>
      </c>
      <c r="D14" s="46" t="n">
        <f aca="false">IF(B14&lt;1, V_Unlevered*B14/(1-B14)/1000000000, 0)</f>
        <v>175</v>
      </c>
      <c r="E14" s="45" t="n">
        <f aca="false">Tax_Rate*D14</f>
        <v>43.75</v>
      </c>
      <c r="F14" s="46" t="n">
        <f aca="false">V_Unlevered/1000000000+E14</f>
        <v>118.75</v>
      </c>
      <c r="G14" s="47" t="n">
        <f aca="false">0.673267326732673*(1+(1-Tax_Rate)*C14)</f>
        <v>1.85148514851485</v>
      </c>
      <c r="H14" s="48" t="n">
        <f aca="false">Rf+G14*Brent_RP</f>
        <v>0.17460396039604</v>
      </c>
      <c r="I14" s="48" t="n">
        <f aca="false">Pre_Tax_Cod + IF(B14&gt;0.3, 0.02*(B14/0.5)^2, 0)</f>
        <v>0.1042</v>
      </c>
      <c r="J14" s="48" t="n">
        <f aca="false">(1-B14)*H14 + B14*I14*(1-Tax_Rate)</f>
        <v>0.107086188118812</v>
      </c>
      <c r="K14" s="49" t="n">
        <f aca="false">RANK(J14, $J$7:$J$14, 1)</f>
        <v>8</v>
      </c>
    </row>
    <row r="16" customFormat="false" ht="17.35" hidden="false" customHeight="false" outlineLevel="0" collapsed="false">
      <c r="B16" s="41" t="s">
        <v>164</v>
      </c>
      <c r="C16" s="41"/>
      <c r="D16" s="41"/>
      <c r="E16" s="41"/>
      <c r="F16" s="41"/>
      <c r="G16" s="41"/>
      <c r="H16" s="41"/>
      <c r="I16" s="41"/>
      <c r="J16" s="41"/>
      <c r="K16" s="41"/>
    </row>
    <row r="17" customFormat="false" ht="15" hidden="false" customHeight="false" outlineLevel="0" collapsed="false">
      <c r="B17" s="33" t="s">
        <v>165</v>
      </c>
      <c r="C17" s="51" t="n">
        <f aca="false">INDEX(B7:B14, MATCH(1, K7:K14, 0))</f>
        <v>0.3</v>
      </c>
    </row>
    <row r="18" customFormat="false" ht="15" hidden="false" customHeight="false" outlineLevel="0" collapsed="false">
      <c r="B18" s="33" t="s">
        <v>166</v>
      </c>
      <c r="C18" s="39" t="n">
        <f aca="false">INDEX(J7:J14, MATCH(1, K7:K14, 0))</f>
        <v>0.0897190594059406</v>
      </c>
    </row>
    <row r="19" customFormat="false" ht="15" hidden="false" customHeight="false" outlineLevel="0" collapsed="false">
      <c r="B19" s="33" t="s">
        <v>167</v>
      </c>
      <c r="C19" s="52" t="n">
        <f aca="false">INDEX(E7:E14, MATCH(1, K7:K14, 0))</f>
        <v>8.03571428571429</v>
      </c>
    </row>
  </sheetData>
  <mergeCells count="3">
    <mergeCell ref="B2:K2"/>
    <mergeCell ref="B4:K4"/>
    <mergeCell ref="B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50"/>
  </cols>
  <sheetData>
    <row r="2" customFormat="false" ht="30" hidden="false" customHeight="true" outlineLevel="0" collapsed="false">
      <c r="B2" s="8" t="s">
        <v>168</v>
      </c>
      <c r="C2" s="8"/>
      <c r="D2" s="8"/>
    </row>
    <row r="4" customFormat="false" ht="49.5" hidden="false" customHeight="true" outlineLevel="0" collapsed="false">
      <c r="B4" s="24" t="s">
        <v>169</v>
      </c>
      <c r="C4" s="24"/>
      <c r="D4" s="24"/>
    </row>
    <row r="6" customFormat="false" ht="17.35" hidden="false" customHeight="false" outlineLevel="0" collapsed="false">
      <c r="B6" s="25" t="s">
        <v>170</v>
      </c>
      <c r="C6" s="25"/>
      <c r="D6" s="25"/>
    </row>
    <row r="7" customFormat="false" ht="15" hidden="false" customHeight="false" outlineLevel="0" collapsed="false">
      <c r="B7" s="11" t="s">
        <v>171</v>
      </c>
      <c r="C7" s="53" t="n">
        <f aca="false">Project_S</f>
        <v>2400000000</v>
      </c>
    </row>
    <row r="8" customFormat="false" ht="15" hidden="false" customHeight="false" outlineLevel="0" collapsed="false">
      <c r="B8" s="11" t="s">
        <v>172</v>
      </c>
      <c r="C8" s="53" t="n">
        <f aca="false">Project_Capex</f>
        <v>2000000000</v>
      </c>
    </row>
    <row r="9" customFormat="false" ht="15" hidden="false" customHeight="false" outlineLevel="0" collapsed="false">
      <c r="B9" s="11" t="s">
        <v>173</v>
      </c>
      <c r="C9" s="54" t="n">
        <f aca="false">Option_T</f>
        <v>1</v>
      </c>
    </row>
    <row r="10" customFormat="false" ht="15" hidden="false" customHeight="false" outlineLevel="0" collapsed="false">
      <c r="B10" s="11" t="s">
        <v>174</v>
      </c>
      <c r="C10" s="36" t="n">
        <f aca="false">Rf</f>
        <v>0.045</v>
      </c>
    </row>
    <row r="11" customFormat="false" ht="15" hidden="false" customHeight="false" outlineLevel="0" collapsed="false">
      <c r="B11" s="11" t="s">
        <v>175</v>
      </c>
      <c r="C11" s="55" t="n">
        <f aca="false">GARCH_LongRunVol</f>
        <v>0.4583</v>
      </c>
    </row>
    <row r="13" customFormat="false" ht="17.35" hidden="false" customHeight="false" outlineLevel="0" collapsed="false">
      <c r="B13" s="25" t="s">
        <v>176</v>
      </c>
      <c r="C13" s="25"/>
      <c r="D13" s="25"/>
    </row>
    <row r="14" customFormat="false" ht="15" hidden="false" customHeight="false" outlineLevel="0" collapsed="false">
      <c r="B14" s="11" t="s">
        <v>177</v>
      </c>
      <c r="C14" s="56" t="n">
        <f aca="false">(LN(C7/C8) + (C10 + 0.5*C11^2)*C9) / (C11*SQRT(C9))</f>
        <v>0.725160379214389</v>
      </c>
    </row>
    <row r="15" customFormat="false" ht="15" hidden="false" customHeight="false" outlineLevel="0" collapsed="false">
      <c r="B15" s="11" t="s">
        <v>178</v>
      </c>
      <c r="C15" s="56" t="n">
        <f aca="false">C14 - C11*SQRT(C9)</f>
        <v>0.266860379214389</v>
      </c>
    </row>
    <row r="16" customFormat="false" ht="15" hidden="false" customHeight="false" outlineLevel="0" collapsed="false">
      <c r="B16" s="11" t="s">
        <v>179</v>
      </c>
      <c r="C16" s="56" t="n">
        <f aca="false">NORMSDIST(C14)</f>
        <v>0.765823176832458</v>
      </c>
    </row>
    <row r="17" customFormat="false" ht="15" hidden="false" customHeight="false" outlineLevel="0" collapsed="false">
      <c r="B17" s="11" t="s">
        <v>180</v>
      </c>
      <c r="C17" s="56" t="n">
        <f aca="false">NORMSDIST(C15)</f>
        <v>0.605211668271816</v>
      </c>
    </row>
    <row r="19" customFormat="false" ht="17.35" hidden="false" customHeight="false" outlineLevel="0" collapsed="false">
      <c r="B19" s="41" t="s">
        <v>181</v>
      </c>
      <c r="C19" s="41"/>
      <c r="D19" s="41"/>
    </row>
    <row r="20" customFormat="false" ht="15" hidden="false" customHeight="false" outlineLevel="0" collapsed="false">
      <c r="B20" s="33" t="s">
        <v>182</v>
      </c>
      <c r="C20" s="57" t="n">
        <f aca="false">C7*C16 - C8*EXP(-C10*C9)*C17</f>
        <v>680813962.710169</v>
      </c>
    </row>
    <row r="21" customFormat="false" ht="15" hidden="false" customHeight="false" outlineLevel="0" collapsed="false">
      <c r="B21" s="33" t="s">
        <v>183</v>
      </c>
      <c r="C21" s="58" t="n">
        <f aca="false">C7-C8</f>
        <v>400000000</v>
      </c>
    </row>
    <row r="22" customFormat="false" ht="15" hidden="false" customHeight="false" outlineLevel="0" collapsed="false">
      <c r="B22" s="33" t="s">
        <v>184</v>
      </c>
      <c r="C22" s="57" t="n">
        <f aca="false">C20-C21</f>
        <v>280813962.710169</v>
      </c>
    </row>
    <row r="23" customFormat="false" ht="15" hidden="false" customHeight="false" outlineLevel="0" collapsed="false">
      <c r="B23" s="33" t="s">
        <v>185</v>
      </c>
      <c r="C23" s="59" t="n">
        <f aca="false">C22/C21</f>
        <v>0.702034906775422</v>
      </c>
    </row>
  </sheetData>
  <mergeCells count="5">
    <mergeCell ref="B2:D2"/>
    <mergeCell ref="B4:D4"/>
    <mergeCell ref="B6:D6"/>
    <mergeCell ref="B13:D13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13" min="3" style="0" width="12"/>
  </cols>
  <sheetData>
    <row r="2" customFormat="false" ht="30" hidden="false" customHeight="true" outlineLevel="0" collapsed="false">
      <c r="B2" s="8" t="s">
        <v>186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customFormat="false" ht="30" hidden="false" customHeight="true" outlineLevel="0" collapsed="false">
      <c r="B4" s="24" t="s">
        <v>187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6" customFormat="false" ht="15" hidden="false" customHeight="false" outlineLevel="0" collapsed="false">
      <c r="B6" s="60" t="s">
        <v>188</v>
      </c>
      <c r="C6" s="61" t="s">
        <v>189</v>
      </c>
      <c r="D6" s="61" t="s">
        <v>190</v>
      </c>
      <c r="E6" s="61" t="s">
        <v>191</v>
      </c>
      <c r="F6" s="61" t="s">
        <v>192</v>
      </c>
      <c r="G6" s="61" t="s">
        <v>193</v>
      </c>
      <c r="H6" s="61" t="s">
        <v>194</v>
      </c>
      <c r="I6" s="61" t="s">
        <v>195</v>
      </c>
      <c r="J6" s="61" t="s">
        <v>196</v>
      </c>
      <c r="K6" s="61" t="s">
        <v>197</v>
      </c>
      <c r="L6" s="61" t="s">
        <v>198</v>
      </c>
      <c r="M6" s="61" t="s">
        <v>199</v>
      </c>
    </row>
    <row r="7" customFormat="false" ht="15" hidden="false" customHeight="false" outlineLevel="0" collapsed="false">
      <c r="B7" s="33" t="s">
        <v>200</v>
      </c>
      <c r="C7" s="62" t="n">
        <v>0</v>
      </c>
      <c r="D7" s="58" t="n">
        <f aca="false">Inputs!$C$23</f>
        <v>400000000</v>
      </c>
      <c r="E7" s="58" t="n">
        <f aca="false">D7*(1-Inputs!$C$24)</f>
        <v>380000000</v>
      </c>
      <c r="F7" s="58" t="n">
        <f aca="false">E7*(1-Inputs!$C$24)</f>
        <v>361000000</v>
      </c>
      <c r="G7" s="58" t="n">
        <f aca="false">F7*(1-Inputs!$C$24)</f>
        <v>342950000</v>
      </c>
      <c r="H7" s="58" t="n">
        <f aca="false">G7*(1-Inputs!$C$24)</f>
        <v>325802500</v>
      </c>
      <c r="I7" s="58" t="n">
        <f aca="false">H7*(1-Inputs!$C$25)</f>
        <v>293222250</v>
      </c>
      <c r="J7" s="58" t="n">
        <f aca="false">I7*(1-Inputs!$C$25)</f>
        <v>263900025</v>
      </c>
      <c r="K7" s="58" t="n">
        <f aca="false">J7*(1-Inputs!$C$25)</f>
        <v>237510022.5</v>
      </c>
      <c r="L7" s="58" t="n">
        <f aca="false">K7*(1-Inputs!$C$25)</f>
        <v>213759020.25</v>
      </c>
      <c r="M7" s="58" t="n">
        <f aca="false">L7*(1-Inputs!$C$25)</f>
        <v>192383118.225</v>
      </c>
    </row>
    <row r="8" customFormat="false" ht="15" hidden="false" customHeight="false" outlineLevel="0" collapsed="false">
      <c r="B8" s="11" t="s">
        <v>201</v>
      </c>
      <c r="C8" s="62" t="n">
        <v>0</v>
      </c>
      <c r="D8" s="58" t="n">
        <f aca="false">Project_Capex*0.1</f>
        <v>200000000</v>
      </c>
      <c r="E8" s="58" t="n">
        <f aca="false">Project_Capex*0.1</f>
        <v>200000000</v>
      </c>
      <c r="F8" s="58" t="n">
        <f aca="false">Project_Capex*0.1</f>
        <v>200000000</v>
      </c>
      <c r="G8" s="58" t="n">
        <f aca="false">Project_Capex*0.1</f>
        <v>200000000</v>
      </c>
      <c r="H8" s="58" t="n">
        <f aca="false">Project_Capex*0.1</f>
        <v>200000000</v>
      </c>
      <c r="I8" s="58" t="n">
        <f aca="false">Project_Capex*0.1</f>
        <v>200000000</v>
      </c>
      <c r="J8" s="58" t="n">
        <f aca="false">Project_Capex*0.1</f>
        <v>200000000</v>
      </c>
      <c r="K8" s="58" t="n">
        <f aca="false">Project_Capex*0.1</f>
        <v>200000000</v>
      </c>
      <c r="L8" s="58" t="n">
        <f aca="false">Project_Capex*0.1</f>
        <v>200000000</v>
      </c>
      <c r="M8" s="58" t="n">
        <f aca="false">Project_Capex*0.1</f>
        <v>200000000</v>
      </c>
    </row>
    <row r="9" customFormat="false" ht="15" hidden="false" customHeight="false" outlineLevel="0" collapsed="false">
      <c r="B9" s="33" t="s">
        <v>202</v>
      </c>
      <c r="C9" s="62" t="n">
        <v>0</v>
      </c>
      <c r="D9" s="58" t="n">
        <f aca="false">D7-D8</f>
        <v>200000000</v>
      </c>
      <c r="E9" s="58" t="n">
        <f aca="false">E7-E8</f>
        <v>180000000</v>
      </c>
      <c r="F9" s="58" t="n">
        <f aca="false">F7-F8</f>
        <v>161000000</v>
      </c>
      <c r="G9" s="58" t="n">
        <f aca="false">G7-G8</f>
        <v>142950000</v>
      </c>
      <c r="H9" s="58" t="n">
        <f aca="false">H7-H8</f>
        <v>125802500</v>
      </c>
      <c r="I9" s="58" t="n">
        <f aca="false">I7-I8</f>
        <v>93222250</v>
      </c>
      <c r="J9" s="58" t="n">
        <f aca="false">J7-J8</f>
        <v>63900025</v>
      </c>
      <c r="K9" s="58" t="n">
        <f aca="false">K7-K8</f>
        <v>37510022.5</v>
      </c>
      <c r="L9" s="58" t="n">
        <f aca="false">L7-L8</f>
        <v>13759020.25</v>
      </c>
      <c r="M9" s="58" t="n">
        <f aca="false">M7-M8</f>
        <v>-7616881.77500001</v>
      </c>
    </row>
    <row r="10" customFormat="false" ht="15" hidden="false" customHeight="false" outlineLevel="0" collapsed="false">
      <c r="B10" s="11" t="s">
        <v>203</v>
      </c>
      <c r="C10" s="62" t="n">
        <v>0</v>
      </c>
      <c r="D10" s="58" t="n">
        <f aca="false">MAX(D9*Tax_Rate, 0)</f>
        <v>50000000</v>
      </c>
      <c r="E10" s="58" t="n">
        <f aca="false">MAX(E9*Tax_Rate, 0)</f>
        <v>45000000</v>
      </c>
      <c r="F10" s="58" t="n">
        <f aca="false">MAX(F9*Tax_Rate, 0)</f>
        <v>40250000</v>
      </c>
      <c r="G10" s="58" t="n">
        <f aca="false">MAX(G9*Tax_Rate, 0)</f>
        <v>35737500</v>
      </c>
      <c r="H10" s="58" t="n">
        <f aca="false">MAX(H9*Tax_Rate, 0)</f>
        <v>31450625</v>
      </c>
      <c r="I10" s="58" t="n">
        <f aca="false">MAX(I9*Tax_Rate, 0)</f>
        <v>23305562.5</v>
      </c>
      <c r="J10" s="58" t="n">
        <f aca="false">MAX(J9*Tax_Rate, 0)</f>
        <v>15975006.25</v>
      </c>
      <c r="K10" s="58" t="n">
        <f aca="false">MAX(K9*Tax_Rate, 0)</f>
        <v>9377505.625</v>
      </c>
      <c r="L10" s="58" t="n">
        <f aca="false">MAX(L9*Tax_Rate, 0)</f>
        <v>3439755.0625</v>
      </c>
      <c r="M10" s="58" t="n">
        <f aca="false">MAX(M9*Tax_Rate, 0)</f>
        <v>0</v>
      </c>
    </row>
    <row r="11" customFormat="false" ht="15" hidden="false" customHeight="false" outlineLevel="0" collapsed="false">
      <c r="B11" s="33" t="s">
        <v>204</v>
      </c>
      <c r="C11" s="62" t="n">
        <v>0</v>
      </c>
      <c r="D11" s="58" t="n">
        <f aca="false">D9-D10</f>
        <v>150000000</v>
      </c>
      <c r="E11" s="58" t="n">
        <f aca="false">E9-E10</f>
        <v>135000000</v>
      </c>
      <c r="F11" s="58" t="n">
        <f aca="false">F9-F10</f>
        <v>120750000</v>
      </c>
      <c r="G11" s="58" t="n">
        <f aca="false">G9-G10</f>
        <v>107212500</v>
      </c>
      <c r="H11" s="58" t="n">
        <f aca="false">H9-H10</f>
        <v>94351875</v>
      </c>
      <c r="I11" s="58" t="n">
        <f aca="false">I9-I10</f>
        <v>69916687.5</v>
      </c>
      <c r="J11" s="58" t="n">
        <f aca="false">J9-J10</f>
        <v>47925018.75</v>
      </c>
      <c r="K11" s="58" t="n">
        <f aca="false">K9-K10</f>
        <v>28132516.875</v>
      </c>
      <c r="L11" s="58" t="n">
        <f aca="false">L9-L10</f>
        <v>10319265.1875</v>
      </c>
      <c r="M11" s="58" t="n">
        <f aca="false">M9-M10</f>
        <v>-7616881.77500001</v>
      </c>
    </row>
    <row r="12" customFormat="false" ht="15" hidden="false" customHeight="false" outlineLevel="0" collapsed="false">
      <c r="B12" s="11" t="s">
        <v>205</v>
      </c>
      <c r="C12" s="62" t="n">
        <v>0</v>
      </c>
      <c r="D12" s="58" t="n">
        <f aca="false">D8</f>
        <v>200000000</v>
      </c>
      <c r="E12" s="58" t="n">
        <f aca="false">E8</f>
        <v>200000000</v>
      </c>
      <c r="F12" s="58" t="n">
        <f aca="false">F8</f>
        <v>200000000</v>
      </c>
      <c r="G12" s="58" t="n">
        <f aca="false">G8</f>
        <v>200000000</v>
      </c>
      <c r="H12" s="58" t="n">
        <f aca="false">H8</f>
        <v>200000000</v>
      </c>
      <c r="I12" s="58" t="n">
        <f aca="false">I8</f>
        <v>200000000</v>
      </c>
      <c r="J12" s="58" t="n">
        <f aca="false">J8</f>
        <v>200000000</v>
      </c>
      <c r="K12" s="58" t="n">
        <f aca="false">K8</f>
        <v>200000000</v>
      </c>
      <c r="L12" s="58" t="n">
        <f aca="false">L8</f>
        <v>200000000</v>
      </c>
      <c r="M12" s="58" t="n">
        <f aca="false">M8</f>
        <v>200000000</v>
      </c>
    </row>
    <row r="13" customFormat="false" ht="15" hidden="false" customHeight="false" outlineLevel="0" collapsed="false">
      <c r="B13" s="11" t="s">
        <v>206</v>
      </c>
      <c r="C13" s="63" t="n">
        <f aca="false">-Project_Capex</f>
        <v>-2000000000</v>
      </c>
      <c r="D13" s="64" t="n">
        <v>0</v>
      </c>
      <c r="E13" s="64" t="n">
        <v>0</v>
      </c>
      <c r="F13" s="64" t="n">
        <v>0</v>
      </c>
      <c r="G13" s="64" t="n">
        <v>0</v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64" t="n">
        <v>0</v>
      </c>
    </row>
    <row r="14" customFormat="false" ht="15" hidden="false" customHeight="false" outlineLevel="0" collapsed="false">
      <c r="B14" s="11" t="s">
        <v>207</v>
      </c>
      <c r="C14" s="62" t="n">
        <v>0</v>
      </c>
      <c r="D14" s="62" t="n">
        <v>0</v>
      </c>
      <c r="E14" s="62" t="n">
        <v>0</v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2" t="n">
        <v>0</v>
      </c>
      <c r="M14" s="58" t="n">
        <f aca="false">Inputs!$C$26</f>
        <v>200000000</v>
      </c>
    </row>
    <row r="15" customFormat="false" ht="15" hidden="false" customHeight="false" outlineLevel="0" collapsed="false">
      <c r="B15" s="65" t="s">
        <v>208</v>
      </c>
      <c r="C15" s="66" t="n">
        <f aca="false">C13</f>
        <v>-2000000000</v>
      </c>
      <c r="D15" s="66" t="n">
        <f aca="false">D11+D12+D13+D14</f>
        <v>350000000</v>
      </c>
      <c r="E15" s="66" t="n">
        <f aca="false">E11+E12+E13+E14</f>
        <v>335000000</v>
      </c>
      <c r="F15" s="66" t="n">
        <f aca="false">F11+F12+F13+F14</f>
        <v>320750000</v>
      </c>
      <c r="G15" s="66" t="n">
        <f aca="false">G11+G12+G13+G14</f>
        <v>307212500</v>
      </c>
      <c r="H15" s="66" t="n">
        <f aca="false">H11+H12+H13+H14</f>
        <v>294351875</v>
      </c>
      <c r="I15" s="66" t="n">
        <f aca="false">I11+I12+I13+I14</f>
        <v>269916687.5</v>
      </c>
      <c r="J15" s="66" t="n">
        <f aca="false">J11+J12+J13+J14</f>
        <v>247925018.75</v>
      </c>
      <c r="K15" s="66" t="n">
        <f aca="false">K11+K12+K13+K14</f>
        <v>228132516.875</v>
      </c>
      <c r="L15" s="66" t="n">
        <f aca="false">L11+L12+L13+L14</f>
        <v>210319265.1875</v>
      </c>
      <c r="M15" s="66" t="n">
        <f aca="false">M11+M12+M13+M14</f>
        <v>392383118.225</v>
      </c>
    </row>
    <row r="17" customFormat="false" ht="15" hidden="false" customHeight="false" outlineLevel="0" collapsed="false">
      <c r="B17" s="11" t="s">
        <v>209</v>
      </c>
      <c r="C17" s="56" t="n">
        <f aca="false">1/((1+Optimal_WACC)^0)</f>
        <v>1</v>
      </c>
      <c r="D17" s="56" t="n">
        <f aca="false">1/((1+Optimal_WACC)^1)</f>
        <v>0.917667715700182</v>
      </c>
      <c r="E17" s="56" t="n">
        <f aca="false">1/((1+Optimal_WACC)^2)</f>
        <v>0.842114036438389</v>
      </c>
      <c r="F17" s="56" t="n">
        <f aca="false">1/((1+Optimal_WACC)^3)</f>
        <v>0.772780864177476</v>
      </c>
      <c r="G17" s="56" t="n">
        <f aca="false">1/((1+Optimal_WACC)^4)</f>
        <v>0.709156050366557</v>
      </c>
      <c r="H17" s="56" t="n">
        <f aca="false">1/((1+Optimal_WACC)^5)</f>
        <v>0.650769612814842</v>
      </c>
      <c r="I17" s="56" t="n">
        <f aca="false">1/((1+Optimal_WACC)^6)</f>
        <v>0.597190264038887</v>
      </c>
      <c r="J17" s="56" t="n">
        <f aca="false">1/((1+Optimal_WACC)^7)</f>
        <v>0.548022225438954</v>
      </c>
      <c r="K17" s="56" t="n">
        <f aca="false">1/((1+Optimal_WACC)^8)</f>
        <v>0.502902303771495</v>
      </c>
      <c r="L17" s="56" t="n">
        <f aca="false">1/((1+Optimal_WACC)^9)</f>
        <v>0.461497208322347</v>
      </c>
      <c r="M17" s="56" t="n">
        <f aca="false">1/((1+Optimal_WACC)^10)</f>
        <v>0.423501088963179</v>
      </c>
    </row>
    <row r="18" customFormat="false" ht="15" hidden="false" customHeight="false" outlineLevel="0" collapsed="false">
      <c r="B18" s="33" t="s">
        <v>210</v>
      </c>
      <c r="C18" s="63" t="n">
        <f aca="false">C15*C17</f>
        <v>-2000000000</v>
      </c>
      <c r="D18" s="63" t="n">
        <f aca="false">D15*D17</f>
        <v>321183700.495064</v>
      </c>
      <c r="E18" s="63" t="n">
        <f aca="false">E15*E17</f>
        <v>282108202.206861</v>
      </c>
      <c r="F18" s="63" t="n">
        <f aca="false">F15*F17</f>
        <v>247869462.184926</v>
      </c>
      <c r="G18" s="63" t="n">
        <f aca="false">G15*G17</f>
        <v>217861603.123236</v>
      </c>
      <c r="H18" s="63" t="n">
        <f aca="false">H15*H17</f>
        <v>191555255.725073</v>
      </c>
      <c r="I18" s="63" t="n">
        <f aca="false">I15*I17</f>
        <v>161191617.876627</v>
      </c>
      <c r="J18" s="63" t="n">
        <f aca="false">J15*J17</f>
        <v>135868420.517369</v>
      </c>
      <c r="K18" s="63" t="n">
        <f aca="false">K15*K17</f>
        <v>114728368.301627</v>
      </c>
      <c r="L18" s="63" t="n">
        <f aca="false">L15*L17</f>
        <v>97061753.7404386</v>
      </c>
      <c r="M18" s="63" t="n">
        <f aca="false">M15*M17</f>
        <v>166174677.859055</v>
      </c>
    </row>
    <row r="20" customFormat="false" ht="17.35" hidden="false" customHeight="false" outlineLevel="0" collapsed="false">
      <c r="B20" s="41" t="s">
        <v>211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</row>
    <row r="21" customFormat="false" ht="15" hidden="false" customHeight="false" outlineLevel="0" collapsed="false">
      <c r="B21" s="33" t="s">
        <v>212</v>
      </c>
      <c r="C21" s="66" t="n">
        <f aca="false">SUM(C18:M18)</f>
        <v>-64396937.9697248</v>
      </c>
    </row>
    <row r="22" customFormat="false" ht="15" hidden="false" customHeight="false" outlineLevel="0" collapsed="false">
      <c r="B22" s="11" t="s">
        <v>213</v>
      </c>
      <c r="C22" s="36" t="n">
        <f aca="false">Optimal_WACC</f>
        <v>0.0897190594059406</v>
      </c>
    </row>
  </sheetData>
  <mergeCells count="3">
    <mergeCell ref="B2:M2"/>
    <mergeCell ref="B4:M4"/>
    <mergeCell ref="B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8" min="3" style="0" width="14"/>
  </cols>
  <sheetData>
    <row r="2" customFormat="false" ht="30" hidden="false" customHeight="true" outlineLevel="0" collapsed="false">
      <c r="B2" s="8" t="s">
        <v>214</v>
      </c>
      <c r="C2" s="8"/>
      <c r="D2" s="8"/>
      <c r="E2" s="8"/>
      <c r="F2" s="8"/>
      <c r="G2" s="8"/>
      <c r="H2" s="8"/>
    </row>
    <row r="4" customFormat="false" ht="36" hidden="false" customHeight="true" outlineLevel="0" collapsed="false">
      <c r="B4" s="24" t="s">
        <v>215</v>
      </c>
      <c r="C4" s="24"/>
      <c r="D4" s="24"/>
      <c r="E4" s="24"/>
      <c r="F4" s="24"/>
      <c r="G4" s="24"/>
      <c r="H4" s="24"/>
    </row>
    <row r="6" customFormat="false" ht="15" hidden="false" customHeight="false" outlineLevel="0" collapsed="false">
      <c r="B6" s="60" t="s">
        <v>216</v>
      </c>
      <c r="C6" s="67" t="n">
        <v>0.07</v>
      </c>
      <c r="D6" s="67" t="n">
        <v>0.08</v>
      </c>
      <c r="E6" s="67" t="n">
        <v>0.09</v>
      </c>
      <c r="F6" s="67" t="n">
        <v>0.1</v>
      </c>
      <c r="G6" s="67" t="n">
        <v>0.11</v>
      </c>
      <c r="H6" s="67" t="n">
        <v>0.12</v>
      </c>
    </row>
    <row r="7" customFormat="false" ht="15" hidden="false" customHeight="false" outlineLevel="0" collapsed="false">
      <c r="B7" s="33" t="s">
        <v>217</v>
      </c>
      <c r="C7" s="68" t="n">
        <v>-815013205.389311</v>
      </c>
      <c r="D7" s="68" t="n">
        <v>-865364555.869183</v>
      </c>
      <c r="E7" s="68" t="n">
        <v>-912376180.078408</v>
      </c>
      <c r="F7" s="68" t="n">
        <v>-956324723.481139</v>
      </c>
      <c r="G7" s="68" t="n">
        <v>-997460321.631091</v>
      </c>
      <c r="H7" s="68" t="n">
        <v>-1036009433.65243</v>
      </c>
    </row>
    <row r="8" customFormat="false" ht="15" hidden="false" customHeight="false" outlineLevel="0" collapsed="false">
      <c r="B8" s="33" t="s">
        <v>218</v>
      </c>
      <c r="C8" s="69" t="n">
        <v>-25022008.9821841</v>
      </c>
      <c r="D8" s="69" t="n">
        <v>-108940926.448638</v>
      </c>
      <c r="E8" s="69" t="n">
        <v>-187293633.464014</v>
      </c>
      <c r="F8" s="69" t="n">
        <v>-260541205.801899</v>
      </c>
      <c r="G8" s="68" t="n">
        <v>-329100536.051818</v>
      </c>
      <c r="H8" s="68" t="n">
        <v>-393349056.087383</v>
      </c>
    </row>
    <row r="9" customFormat="false" ht="15" hidden="false" customHeight="false" outlineLevel="0" collapsed="false">
      <c r="B9" s="33" t="s">
        <v>219</v>
      </c>
      <c r="C9" s="70" t="n">
        <v>764969187.424942</v>
      </c>
      <c r="D9" s="70" t="n">
        <v>647482702.971906</v>
      </c>
      <c r="E9" s="70" t="n">
        <v>537788913.150381</v>
      </c>
      <c r="F9" s="70" t="n">
        <v>435242311.877342</v>
      </c>
      <c r="G9" s="70" t="n">
        <v>339259249.527455</v>
      </c>
      <c r="H9" s="70" t="n">
        <v>249311321.477664</v>
      </c>
    </row>
    <row r="11" customFormat="false" ht="17.35" hidden="false" customHeight="false" outlineLevel="0" collapsed="false">
      <c r="B11" s="41" t="s">
        <v>220</v>
      </c>
      <c r="C11" s="41"/>
      <c r="D11" s="41"/>
      <c r="E11" s="41"/>
      <c r="F11" s="41"/>
      <c r="G11" s="41"/>
      <c r="H11" s="41"/>
    </row>
    <row r="12" customFormat="false" ht="49.5" hidden="false" customHeight="true" outlineLevel="0" collapsed="false">
      <c r="B12" s="4" t="s">
        <v>221</v>
      </c>
      <c r="C12" s="4"/>
      <c r="D12" s="4"/>
      <c r="E12" s="4"/>
      <c r="F12" s="4"/>
      <c r="G12" s="4"/>
      <c r="H12" s="4"/>
    </row>
  </sheetData>
  <mergeCells count="4">
    <mergeCell ref="B2:H2"/>
    <mergeCell ref="B4:H4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7" min="3" style="0" width="16"/>
  </cols>
  <sheetData>
    <row r="2" customFormat="false" ht="30" hidden="false" customHeight="true" outlineLevel="0" collapsed="false">
      <c r="B2" s="8" t="s">
        <v>222</v>
      </c>
      <c r="C2" s="8"/>
      <c r="D2" s="8"/>
      <c r="E2" s="8"/>
      <c r="F2" s="8"/>
      <c r="G2" s="8"/>
    </row>
    <row r="4" customFormat="false" ht="36" hidden="false" customHeight="true" outlineLevel="0" collapsed="false">
      <c r="B4" s="24" t="s">
        <v>223</v>
      </c>
      <c r="C4" s="24"/>
      <c r="D4" s="24"/>
      <c r="E4" s="24"/>
      <c r="F4" s="24"/>
      <c r="G4" s="24"/>
    </row>
    <row r="6" customFormat="false" ht="15" hidden="false" customHeight="false" outlineLevel="0" collapsed="false">
      <c r="B6" s="61" t="s">
        <v>224</v>
      </c>
      <c r="C6" s="61" t="s">
        <v>225</v>
      </c>
      <c r="D6" s="61" t="s">
        <v>226</v>
      </c>
      <c r="E6" s="61" t="s">
        <v>227</v>
      </c>
      <c r="F6" s="61" t="s">
        <v>228</v>
      </c>
    </row>
    <row r="7" customFormat="false" ht="15" hidden="false" customHeight="false" outlineLevel="0" collapsed="false">
      <c r="B7" s="71" t="n">
        <v>0.2</v>
      </c>
      <c r="C7" s="72" t="n">
        <v>3.12111285195811E-027</v>
      </c>
      <c r="D7" s="72" t="n">
        <v>1.47823748069765E-011</v>
      </c>
      <c r="E7" s="72" t="n">
        <v>7.09775704630985E-006</v>
      </c>
      <c r="F7" s="72" t="n">
        <v>0.000790576637847937</v>
      </c>
    </row>
    <row r="8" customFormat="false" ht="15" hidden="false" customHeight="false" outlineLevel="0" collapsed="false">
      <c r="B8" s="71" t="n">
        <v>0.3</v>
      </c>
      <c r="C8" s="72" t="n">
        <v>5.22056649440585E-013</v>
      </c>
      <c r="D8" s="72" t="n">
        <v>5.77746368965644E-006</v>
      </c>
      <c r="E8" s="72" t="n">
        <v>0.00231134639221465</v>
      </c>
      <c r="F8" s="73" t="n">
        <v>0.0212846992273519</v>
      </c>
    </row>
    <row r="9" customFormat="false" ht="15" hidden="false" customHeight="false" outlineLevel="0" collapsed="false">
      <c r="B9" s="71" t="n">
        <v>0.4</v>
      </c>
      <c r="C9" s="72" t="n">
        <v>8.84987521657474E-006</v>
      </c>
      <c r="D9" s="72" t="n">
        <v>0.00445450287835231</v>
      </c>
      <c r="E9" s="73" t="n">
        <v>0.0492654877178327</v>
      </c>
      <c r="F9" s="73" t="n">
        <v>0.126568470303758</v>
      </c>
    </row>
    <row r="10" customFormat="false" ht="15" hidden="false" customHeight="false" outlineLevel="0" collapsed="false">
      <c r="B10" s="71" t="n">
        <v>0.5</v>
      </c>
      <c r="C10" s="73" t="n">
        <v>0.0325172213979379</v>
      </c>
      <c r="D10" s="73" t="n">
        <v>0.138715816504364</v>
      </c>
      <c r="E10" s="74" t="n">
        <v>0.263561231468419</v>
      </c>
      <c r="F10" s="74" t="n">
        <v>0.352695415848174</v>
      </c>
    </row>
    <row r="11" customFormat="false" ht="15" hidden="false" customHeight="false" outlineLevel="0" collapsed="false">
      <c r="B11" s="71" t="n">
        <v>0.6</v>
      </c>
      <c r="C11" s="74" t="n">
        <v>0.659335741181241</v>
      </c>
      <c r="D11" s="74" t="n">
        <v>0.626912900846366</v>
      </c>
      <c r="E11" s="74" t="n">
        <v>0.620752879819168</v>
      </c>
      <c r="F11" s="74" t="n">
        <v>0.628107075475299</v>
      </c>
    </row>
    <row r="12" customFormat="false" ht="15" hidden="false" customHeight="false" outlineLevel="0" collapsed="false">
      <c r="B12" s="71" t="n">
        <v>0.7</v>
      </c>
      <c r="C12" s="74" t="n">
        <v>0.995310945305543</v>
      </c>
      <c r="D12" s="74" t="n">
        <v>0.954557950412722</v>
      </c>
      <c r="E12" s="74" t="n">
        <v>0.8885465769009</v>
      </c>
      <c r="F12" s="74" t="n">
        <v>0.843842458618284</v>
      </c>
    </row>
    <row r="14" customFormat="false" ht="17.35" hidden="false" customHeight="false" outlineLevel="0" collapsed="false">
      <c r="B14" s="41" t="s">
        <v>229</v>
      </c>
      <c r="C14" s="41"/>
      <c r="D14" s="41"/>
      <c r="E14" s="41"/>
      <c r="F14" s="41"/>
      <c r="G14" s="41"/>
    </row>
    <row r="15" customFormat="false" ht="49.5" hidden="false" customHeight="true" outlineLevel="0" collapsed="false">
      <c r="B15" s="4" t="s">
        <v>230</v>
      </c>
      <c r="C15" s="4"/>
      <c r="D15" s="4"/>
      <c r="E15" s="4"/>
      <c r="F15" s="4"/>
      <c r="G15" s="4"/>
    </row>
  </sheetData>
  <mergeCells count="4">
    <mergeCell ref="B2:G2"/>
    <mergeCell ref="B4:G4"/>
    <mergeCell ref="B14:G14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6" min="3" style="0" width="16"/>
  </cols>
  <sheetData>
    <row r="2" customFormat="false" ht="30" hidden="false" customHeight="true" outlineLevel="0" collapsed="false">
      <c r="B2" s="8" t="s">
        <v>231</v>
      </c>
      <c r="C2" s="8"/>
      <c r="D2" s="8"/>
      <c r="E2" s="8"/>
      <c r="F2" s="8"/>
    </row>
    <row r="4" customFormat="false" ht="30" hidden="false" customHeight="true" outlineLevel="0" collapsed="false">
      <c r="B4" s="24" t="s">
        <v>232</v>
      </c>
      <c r="C4" s="24"/>
      <c r="D4" s="24"/>
      <c r="E4" s="24"/>
      <c r="F4" s="24"/>
    </row>
    <row r="6" customFormat="false" ht="15" hidden="false" customHeight="false" outlineLevel="0" collapsed="false">
      <c r="B6" s="43" t="s">
        <v>233</v>
      </c>
      <c r="C6" s="43" t="s">
        <v>234</v>
      </c>
      <c r="D6" s="43" t="s">
        <v>235</v>
      </c>
      <c r="E6" s="43" t="s">
        <v>236</v>
      </c>
    </row>
    <row r="7" customFormat="false" ht="15" hidden="false" customHeight="false" outlineLevel="0" collapsed="false">
      <c r="B7" s="11" t="s">
        <v>237</v>
      </c>
      <c r="C7" s="44" t="n">
        <v>0.2</v>
      </c>
      <c r="D7" s="44" t="n">
        <v>0.3</v>
      </c>
      <c r="E7" s="44" t="n">
        <v>0.5</v>
      </c>
    </row>
    <row r="8" customFormat="false" ht="15" hidden="false" customHeight="false" outlineLevel="0" collapsed="false">
      <c r="B8" s="11" t="s">
        <v>238</v>
      </c>
      <c r="C8" s="48" t="n">
        <f aca="false">VLOOKUP(C7, MM_TaxShield!$B$7:$J$14, 9, FALSE())</f>
        <v>0.0905222772277228</v>
      </c>
      <c r="D8" s="48" t="n">
        <f aca="false">VLOOKUP(D7, MM_TaxShield!$B$7:$J$14, 9, FALSE())</f>
        <v>0.0897190594059406</v>
      </c>
      <c r="E8" s="48" t="n">
        <f aca="false">VLOOKUP(E7, MM_TaxShield!$B$7:$J$14, 9, FALSE())</f>
        <v>0.0956126237623762</v>
      </c>
    </row>
    <row r="9" customFormat="false" ht="15" hidden="false" customHeight="false" outlineLevel="0" collapsed="false">
      <c r="B9" s="11" t="s">
        <v>239</v>
      </c>
      <c r="C9" s="45" t="n">
        <f aca="false">VLOOKUP(C7, MM_TaxShield!$B$7:$J$14, 4, FALSE())</f>
        <v>4.6875</v>
      </c>
      <c r="D9" s="45" t="n">
        <f aca="false">VLOOKUP(D7, MM_TaxShield!$B$7:$J$14, 4, FALSE())</f>
        <v>8.03571428571429</v>
      </c>
      <c r="E9" s="45" t="n">
        <f aca="false">VLOOKUP(E7, MM_TaxShield!$B$7:$J$14, 4, FALSE())</f>
        <v>18.75</v>
      </c>
    </row>
    <row r="10" customFormat="false" ht="15" hidden="false" customHeight="false" outlineLevel="0" collapsed="false">
      <c r="B10" s="11" t="s">
        <v>240</v>
      </c>
      <c r="C10" s="48" t="n">
        <f aca="false">VLOOKUP(C7, Risk_Heatmap!$B$7:$F$12, 3, FALSE())</f>
        <v>1.47823748069765E-011</v>
      </c>
      <c r="D10" s="48" t="n">
        <f aca="false">VLOOKUP(D7, Risk_Heatmap!$B$7:$F$12, 3, FALSE())</f>
        <v>5.77746368965644E-006</v>
      </c>
      <c r="E10" s="48" t="n">
        <f aca="false">VLOOKUP(E7, Risk_Heatmap!$B$7:$F$12, 3, FALSE())</f>
        <v>0.138715816504364</v>
      </c>
    </row>
    <row r="12" customFormat="false" ht="15" hidden="false" customHeight="false" outlineLevel="0" collapsed="false">
      <c r="B12" s="33" t="s">
        <v>241</v>
      </c>
      <c r="C12" s="75" t="n">
        <v>2</v>
      </c>
      <c r="D12" s="13" t="s">
        <v>242</v>
      </c>
    </row>
    <row r="13" customFormat="false" ht="15" hidden="false" customHeight="false" outlineLevel="0" collapsed="false">
      <c r="B13" s="33" t="s">
        <v>243</v>
      </c>
      <c r="C13" s="51" t="n">
        <f aca="false">INDEX(C7:E7, $C$12)</f>
        <v>0.3</v>
      </c>
    </row>
    <row r="14" customFormat="false" ht="15" hidden="false" customHeight="false" outlineLevel="0" collapsed="false">
      <c r="B14" s="33" t="s">
        <v>244</v>
      </c>
      <c r="C14" s="39" t="n">
        <f aca="false">INDEX(C8:E8, $C$12)</f>
        <v>0.0897190594059406</v>
      </c>
    </row>
    <row r="15" customFormat="false" ht="15" hidden="false" customHeight="false" outlineLevel="0" collapsed="false">
      <c r="B15" s="33" t="s">
        <v>245</v>
      </c>
      <c r="C15" s="76" t="n">
        <f aca="false">INDEX(C9:E9, $C$12)</f>
        <v>8.03571428571429</v>
      </c>
    </row>
    <row r="16" customFormat="false" ht="15" hidden="false" customHeight="false" outlineLevel="0" collapsed="false">
      <c r="B16" s="33" t="s">
        <v>246</v>
      </c>
      <c r="C16" s="39" t="n">
        <f aca="false">INDEX(C10:E10, $C$12)</f>
        <v>5.77746368965644E-006</v>
      </c>
    </row>
  </sheetData>
  <mergeCells count="2">
    <mergeCell ref="B2:F2"/>
    <mergeCell ref="B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</cols>
  <sheetData>
    <row r="2" customFormat="false" ht="30" hidden="false" customHeight="true" outlineLevel="0" collapsed="false">
      <c r="B2" s="8" t="s">
        <v>247</v>
      </c>
      <c r="C2" s="8"/>
      <c r="D2" s="8"/>
    </row>
    <row r="4" customFormat="false" ht="17.35" hidden="false" customHeight="false" outlineLevel="0" collapsed="false">
      <c r="B4" s="25" t="s">
        <v>248</v>
      </c>
      <c r="C4" s="25"/>
      <c r="D4" s="25"/>
    </row>
    <row r="5" customFormat="false" ht="15" hidden="false" customHeight="false" outlineLevel="0" collapsed="false">
      <c r="B5" s="33" t="s">
        <v>249</v>
      </c>
      <c r="C5" s="77" t="s">
        <v>250</v>
      </c>
      <c r="D5" s="13"/>
    </row>
    <row r="6" customFormat="false" ht="15" hidden="false" customHeight="false" outlineLevel="0" collapsed="false">
      <c r="B6" s="33" t="s">
        <v>251</v>
      </c>
      <c r="C6" s="78" t="s">
        <v>252</v>
      </c>
      <c r="D6" s="13"/>
    </row>
    <row r="7" customFormat="false" ht="15" hidden="false" customHeight="false" outlineLevel="0" collapsed="false">
      <c r="B7" s="33" t="s">
        <v>253</v>
      </c>
      <c r="C7" s="78" t="s">
        <v>254</v>
      </c>
      <c r="D7" s="13"/>
    </row>
    <row r="8" customFormat="false" ht="15" hidden="false" customHeight="false" outlineLevel="0" collapsed="false">
      <c r="B8" s="33" t="s">
        <v>255</v>
      </c>
      <c r="C8" s="77" t="s">
        <v>256</v>
      </c>
      <c r="D8" s="13"/>
    </row>
    <row r="9" customFormat="false" ht="15" hidden="false" customHeight="false" outlineLevel="0" collapsed="false">
      <c r="B9" s="33" t="s">
        <v>257</v>
      </c>
      <c r="C9" s="77" t="s">
        <v>258</v>
      </c>
      <c r="D9" s="13"/>
    </row>
    <row r="10" customFormat="false" ht="15" hidden="false" customHeight="false" outlineLevel="0" collapsed="false">
      <c r="B10" s="33" t="s">
        <v>259</v>
      </c>
      <c r="C10" s="77" t="s">
        <v>260</v>
      </c>
      <c r="D10" s="13"/>
    </row>
    <row r="11" customFormat="false" ht="15" hidden="false" customHeight="false" outlineLevel="0" collapsed="false">
      <c r="B11" s="33" t="s">
        <v>166</v>
      </c>
      <c r="C11" s="78" t="s">
        <v>261</v>
      </c>
      <c r="D11" s="13"/>
    </row>
    <row r="12" customFormat="false" ht="15" hidden="false" customHeight="false" outlineLevel="0" collapsed="false">
      <c r="B12" s="33" t="s">
        <v>262</v>
      </c>
      <c r="C12" s="77" t="s">
        <v>263</v>
      </c>
      <c r="D12" s="13"/>
    </row>
    <row r="13" customFormat="false" ht="15" hidden="false" customHeight="false" outlineLevel="0" collapsed="false">
      <c r="B13" s="33" t="s">
        <v>264</v>
      </c>
      <c r="C13" s="77" t="s">
        <v>265</v>
      </c>
      <c r="D13" s="13"/>
    </row>
    <row r="14" customFormat="false" ht="15" hidden="false" customHeight="false" outlineLevel="0" collapsed="false">
      <c r="B14" s="33" t="s">
        <v>266</v>
      </c>
      <c r="C14" s="77" t="s">
        <v>267</v>
      </c>
      <c r="D14" s="13" t="s">
        <v>268</v>
      </c>
    </row>
    <row r="15" customFormat="false" ht="15" hidden="false" customHeight="false" outlineLevel="0" collapsed="false">
      <c r="B15" s="33" t="s">
        <v>269</v>
      </c>
      <c r="C15" s="78" t="s">
        <v>270</v>
      </c>
      <c r="D15" s="13" t="s">
        <v>271</v>
      </c>
    </row>
    <row r="16" customFormat="false" ht="15" hidden="false" customHeight="false" outlineLevel="0" collapsed="false">
      <c r="B16" s="33" t="s">
        <v>272</v>
      </c>
      <c r="C16" s="77" t="s">
        <v>273</v>
      </c>
      <c r="D16" s="13"/>
    </row>
    <row r="17" customFormat="false" ht="15" hidden="false" customHeight="false" outlineLevel="0" collapsed="false">
      <c r="B17" s="33" t="s">
        <v>274</v>
      </c>
      <c r="C17" s="78" t="s">
        <v>275</v>
      </c>
      <c r="D17" s="13" t="s">
        <v>276</v>
      </c>
    </row>
    <row r="18" customFormat="false" ht="15" hidden="false" customHeight="false" outlineLevel="0" collapsed="false">
      <c r="B18" s="33" t="s">
        <v>277</v>
      </c>
      <c r="C18" s="79" t="s">
        <v>278</v>
      </c>
      <c r="D18" s="13" t="s">
        <v>279</v>
      </c>
    </row>
    <row r="20" customFormat="false" ht="17.35" hidden="false" customHeight="false" outlineLevel="0" collapsed="false">
      <c r="B20" s="41" t="s">
        <v>280</v>
      </c>
      <c r="C20" s="41"/>
      <c r="D20" s="41"/>
    </row>
    <row r="21" customFormat="false" ht="69.75" hidden="false" customHeight="true" outlineLevel="0" collapsed="false">
      <c r="B21" s="33" t="s">
        <v>281</v>
      </c>
      <c r="C21" s="4" t="s">
        <v>282</v>
      </c>
      <c r="D21" s="4"/>
    </row>
    <row r="22" customFormat="false" ht="69.75" hidden="false" customHeight="true" outlineLevel="0" collapsed="false">
      <c r="B22" s="33" t="s">
        <v>283</v>
      </c>
      <c r="C22" s="4" t="s">
        <v>284</v>
      </c>
      <c r="D22" s="4"/>
    </row>
    <row r="23" customFormat="false" ht="69.75" hidden="false" customHeight="true" outlineLevel="0" collapsed="false">
      <c r="B23" s="33" t="s">
        <v>285</v>
      </c>
      <c r="C23" s="4" t="s">
        <v>286</v>
      </c>
      <c r="D23" s="4"/>
    </row>
    <row r="24" customFormat="false" ht="69.75" hidden="false" customHeight="true" outlineLevel="0" collapsed="false">
      <c r="B24" s="33" t="s">
        <v>287</v>
      </c>
      <c r="C24" s="4" t="s">
        <v>288</v>
      </c>
      <c r="D24" s="4"/>
    </row>
    <row r="25" customFormat="false" ht="69.75" hidden="false" customHeight="true" outlineLevel="0" collapsed="false">
      <c r="B25" s="33" t="s">
        <v>289</v>
      </c>
      <c r="C25" s="4" t="s">
        <v>290</v>
      </c>
      <c r="D25" s="4"/>
    </row>
  </sheetData>
  <mergeCells count="8">
    <mergeCell ref="B2:D2"/>
    <mergeCell ref="B4:D4"/>
    <mergeCell ref="B20:D20"/>
    <mergeCell ref="C21:D21"/>
    <mergeCell ref="C22:D22"/>
    <mergeCell ref="C23:D23"/>
    <mergeCell ref="C24:D24"/>
    <mergeCell ref="C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2026-05-07T08:30:39Z</dcterms:created>
  <dc:creator>openpyxl</dc:creator>
  <dc:description/>
  <dc:language>en-US</dc:language>
  <cp:lastModifiedBy/>
  <dcterms:modified xsi:type="dcterms:W3CDTF">2026-05-07T08:30:39Z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