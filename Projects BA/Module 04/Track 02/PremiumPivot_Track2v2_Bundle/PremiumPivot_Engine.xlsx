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ECE_Tree" sheetId="2" state="visible" r:id="rId4"/>
    <sheet name="Segmentation" sheetId="3" state="visible" r:id="rId5"/>
    <sheet name="Elasticity" sheetId="4" state="visible" r:id="rId6"/>
    <sheet name="Funnel" sheetId="5" state="visible" r:id="rId7"/>
    <sheet name="Bullwhip" sheetId="6" state="visible" r:id="rId8"/>
    <sheet name="DuPont_Decomp" sheetId="7" state="visible" r:id="rId9"/>
    <sheet name="Inputs" sheetId="8" state="visible" r:id="rId10"/>
    <sheet name="Pivot_Scenarios" sheetId="9" state="visible" r:id="rId11"/>
    <sheet name="Summary" sheetId="10" state="visible" r:id="rId12"/>
  </sheets>
  <definedNames>
    <definedName function="false" hidden="false" name="Active_CAC_Reduction" vbProcedure="false">Pivot_Scenarios!$C$16</definedName>
    <definedName function="false" hidden="false" name="Active_Conversion_Lift" vbProcedure="false">Pivot_Scenarios!$C$15</definedName>
    <definedName function="false" hidden="false" name="Active_Price_Change" vbProcedure="false">Pivot_Scenarios!$C$13</definedName>
    <definedName function="false" hidden="false" name="Active_Volume_Effect" vbProcedure="false">Pivot_Scenarios!$C$14</definedName>
    <definedName function="false" hidden="false" name="CAC_Reduction" vbProcedure="false">Inputs!$C$13</definedName>
    <definedName function="false" hidden="false" name="Elasticity_Overall" vbProcedure="false">Inputs!$C$6</definedName>
    <definedName function="false" hidden="false" name="Moderate_Price_Up" vbProcedure="false">Inputs!$C$9</definedName>
    <definedName function="false" hidden="false" name="Penetrate_Price_Down" vbProcedure="false">Inputs!$C$8</definedName>
    <definedName function="false" hidden="false" name="Skim_Price_Up" vbProcedure="false">Inputs!$C$7</definedName>
    <definedName function="false" hidden="false" name="Sub_ARPU" vbProcedure="false">Inputs!$C$11</definedName>
    <definedName function="false" hidden="false" name="Sub_Churn" vbProcedure="false">Inputs!$C$12</definedName>
    <definedName function="false" hidden="false" name="Sub_Conversion_Lift" vbProcedure="false">Inputs!$C$10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<sst xmlns="http://schemas.openxmlformats.org/spreadsheetml/2006/main" count="339" uniqueCount="259">
  <si>
    <t xml:space="preserve">The Premium Pivot</t>
  </si>
  <si>
    <t xml:space="preserve">Strategic Re-Positioning of a Marketplace Subscription Ecosystem | Google Play Store anchor</t>
  </si>
  <si>
    <t xml:space="preserve">Engagement Brief</t>
  </si>
  <si>
    <t xml:space="preserve">Google Play is a legacy app marketplace under pressure from agile subscription competitors. Its current monetization model is dominated by free apps (92.4%) and a small one-time-purchase paid tier ($0.99-$9.99). Total measurable GMV from the paid tier is only $204.6M across 75 billion installs - yield of $0.003 per install. This audit applies STP discipline + quality-controlled price elasticity + DuPont-style decomposition to recommend a re-tiered Premium Pivot pricing strategy.</t>
  </si>
  <si>
    <t xml:space="preserve">Anchor</t>
  </si>
  <si>
    <t xml:space="preserve">Dataset</t>
  </si>
  <si>
    <t xml:space="preserve">Google Play Store apps + reviews (Kaggle)</t>
  </si>
  <si>
    <t xml:space="preserve">Apps in scope</t>
  </si>
  <si>
    <t xml:space="preserve">9,638 (8,904 free + 734 paid; deduped, price &lt; $100)</t>
  </si>
  <si>
    <t xml:space="preserve">Categories</t>
  </si>
  <si>
    <t xml:space="preserve">33 (18 with 5+ paid apps for DuPont decomposition)</t>
  </si>
  <si>
    <t xml:space="preserve">Total installs</t>
  </si>
  <si>
    <t xml:space="preserve">75.3 billion</t>
  </si>
  <si>
    <t xml:space="preserve">Paid GMV (current)</t>
  </si>
  <si>
    <t xml:space="preserve">$204.6M (yield: $0.003/install)</t>
  </si>
  <si>
    <t xml:space="preserve">Sentiment-tagged reviews</t>
  </si>
  <si>
    <t xml:space="preserve">37,432 reviews across 865 apps</t>
  </si>
  <si>
    <t xml:space="preserve">Methodology</t>
  </si>
  <si>
    <t xml:space="preserve">MECE framework</t>
  </si>
  <si>
    <t xml:space="preserve">Decompose marketplace decline into Price × Volume × Mix</t>
  </si>
  <si>
    <t xml:space="preserve">STP segmentation</t>
  </si>
  <si>
    <t xml:space="preserve">K-means k=4 on log(installs), log(price+1), rating</t>
  </si>
  <si>
    <t xml:space="preserve">Elasticity</t>
  </si>
  <si>
    <t xml:space="preserve">Naive log-log + quality-controlled (cat FE + rating + log_reviews)</t>
  </si>
  <si>
    <t xml:space="preserve">Funnel</t>
  </si>
  <si>
    <t xml:space="preserve">Install → Reviewer → Advocate (positive sentiment proxy)</t>
  </si>
  <si>
    <t xml:space="preserve">DuPont analog</t>
  </si>
  <si>
    <t xml:space="preserve">Paid GMV = Total Installs × Paid Conversion × Avg Paid Price</t>
  </si>
  <si>
    <t xml:space="preserve">Bullwhip</t>
  </si>
  <si>
    <t xml:space="preserve">Coefficient of variation: reviews vs installs by category</t>
  </si>
  <si>
    <t xml:space="preserve">Hero Finding</t>
  </si>
  <si>
    <t xml:space="preserve">Naive cross-sectional elasticity = +0.30 (positive sign - WRONG). After controlling for category, rating, and review-count, true elasticity = -0.11 (p=0.045, R²=0.90). The marketplace is highly INELASTIC, meaning paid apps are systematically underpriced. A 10% price increase reduces installs by only ~1%. The Premium Pivot recommendation lifts GMV by +$38M (+21.9%) without significant install volume loss.</t>
  </si>
  <si>
    <t xml:space="preserve">How to use this workbook</t>
  </si>
  <si>
    <t xml:space="preserve">1. MECE_Tree</t>
  </si>
  <si>
    <t xml:space="preserve">Visual decomposition of the marketplace revenue equation</t>
  </si>
  <si>
    <t xml:space="preserve">2. Segmentation</t>
  </si>
  <si>
    <t xml:space="preserve">4 STP segments and their GMV contributions</t>
  </si>
  <si>
    <t xml:space="preserve">3. Elasticity</t>
  </si>
  <si>
    <t xml:space="preserve">Naive vs corrected; per-category elasticity-driven recommendations</t>
  </si>
  <si>
    <t xml:space="preserve">4. Funnel/Bullwhip</t>
  </si>
  <si>
    <t xml:space="preserve">Conversion stages and marketing-spend variance diagnostic</t>
  </si>
  <si>
    <t xml:space="preserve">5. DuPont_Decomp</t>
  </si>
  <si>
    <t xml:space="preserve">Three-component decomposition by category</t>
  </si>
  <si>
    <t xml:space="preserve">6. Inputs</t>
  </si>
  <si>
    <t xml:space="preserve">BLUE cells - cost/conversion assumptions, YELLOW = critical</t>
  </si>
  <si>
    <t xml:space="preserve">7. Pivot_Scenarios</t>
  </si>
  <si>
    <t xml:space="preserve">4 scenarios + Active Scenario picker (cell C12)</t>
  </si>
  <si>
    <t xml:space="preserve">8. Summary</t>
  </si>
  <si>
    <t xml:space="preserve">Executive view with recommendation</t>
  </si>
  <si>
    <t xml:space="preserve">MECE Decomposition - Marketplace Revenue Tree</t>
  </si>
  <si>
    <t xml:space="preserve">Total marketplace decline decomposed into three mutually-exclusive, collectively-exhaustive branches. Each branch is independently measurable; the three together reproduce the total. Pyramid Principle: this is the top of the issue tree.</t>
  </si>
  <si>
    <t xml:space="preserve">TOTAL MARKETPLACE GMV ($204.6M)</t>
  </si>
  <si>
    <t xml:space="preserve">BRANCH 1: PRICE</t>
  </si>
  <si>
    <t xml:space="preserve">BRANCH 2: VOLUME</t>
  </si>
  <si>
    <t xml:space="preserve">BRANCH 3: MIX</t>
  </si>
  <si>
    <t xml:space="preserve">Avg paid price</t>
  </si>
  <si>
    <t xml:space="preserve">Total installs (B)</t>
  </si>
  <si>
    <t xml:space="preserve">Top 5 cats GMV %</t>
  </si>
  <si>
    <t xml:space="preserve">Median paid price</t>
  </si>
  <si>
    <t xml:space="preserve">Paid installs (M)</t>
  </si>
  <si>
    <t xml:space="preserve">FAMILY share</t>
  </si>
  <si>
    <t xml:space="preserve">Issue: bunched at low end</t>
  </si>
  <si>
    <t xml:space="preserve">73% of paid apps priced under $5</t>
  </si>
  <si>
    <t xml:space="preserve">Conversion rate</t>
  </si>
  <si>
    <t xml:space="preserve">Long tail (cats 11+)</t>
  </si>
  <si>
    <t xml:space="preserve">IDENTITY CHECK</t>
  </si>
  <si>
    <t xml:space="preserve">Identity: GMV = AvgPrice × PaidInstalls × MixWeight (per category)</t>
  </si>
  <si>
    <t xml:space="preserve">Total GMV ($M)</t>
  </si>
  <si>
    <t xml:space="preserve">ISSUE TREE - 2nd LEVEL</t>
  </si>
  <si>
    <t xml:space="preserve">Sub-issue 1A</t>
  </si>
  <si>
    <t xml:space="preserve">PRICE</t>
  </si>
  <si>
    <t xml:space="preserve">Inelastic categories underpriced</t>
  </si>
  <si>
    <t xml:space="preserve">→ Skim opportunity (+30% on inelastic)</t>
  </si>
  <si>
    <t xml:space="preserve">Sub-issue 1B</t>
  </si>
  <si>
    <t xml:space="preserve">Median $2.99 = race-to-bottom dynamic</t>
  </si>
  <si>
    <t xml:space="preserve">→ Subscription tier could break this</t>
  </si>
  <si>
    <t xml:space="preserve">Sub-issue 2A</t>
  </si>
  <si>
    <t xml:space="preserve">VOLUME</t>
  </si>
  <si>
    <t xml:space="preserve">Paid conversion 0.077% (vs 1-2% benchmark)</t>
  </si>
  <si>
    <t xml:space="preserve">→ Funnel optimization</t>
  </si>
  <si>
    <t xml:space="preserve">Sub-issue 2B</t>
  </si>
  <si>
    <t xml:space="preserve">GAME elasticity -0.39 (most elastic)</t>
  </si>
  <si>
    <t xml:space="preserve">→ Penetration in GAME</t>
  </si>
  <si>
    <t xml:space="preserve">Sub-issue 3A</t>
  </si>
  <si>
    <t xml:space="preserve">MIX</t>
  </si>
  <si>
    <t xml:space="preserve">FAMILY = 52% concentration risk</t>
  </si>
  <si>
    <t xml:space="preserve">→ Diversify category mix</t>
  </si>
  <si>
    <t xml:space="preserve">Sub-issue 3B</t>
  </si>
  <si>
    <t xml:space="preserve">MEDICAL: 1.46% conversion at $10.62</t>
  </si>
  <si>
    <t xml:space="preserve">→ Premium niche to expand</t>
  </si>
  <si>
    <t xml:space="preserve">STP - 4-Segment Market View (k-means)</t>
  </si>
  <si>
    <t xml:space="preserve">4 segments derived by k-means on (log_installs, log_price, rating). Each segment is profiled below with its size and GMV contribution. Segments inform the targeting + positioning side of STP - which segments deserve premium tier vs penetration tier.</t>
  </si>
  <si>
    <t xml:space="preserve">Segment</t>
  </si>
  <si>
    <t xml:space="preserve"># Apps</t>
  </si>
  <si>
    <t xml:space="preserve">% of Apps</t>
  </si>
  <si>
    <t xml:space="preserve">Mean Installs</t>
  </si>
  <si>
    <t xml:space="preserve">% Paid</t>
  </si>
  <si>
    <t xml:space="preserve">Mean Price</t>
  </si>
  <si>
    <t xml:space="preserve">Mean Rating</t>
  </si>
  <si>
    <t xml:space="preserve">GMV Contribution ($M)</t>
  </si>
  <si>
    <t xml:space="preserve">Premium-Paid</t>
  </si>
  <si>
    <t xml:space="preserve">Mass-Quality</t>
  </si>
  <si>
    <t xml:space="preserve">Underperforming</t>
  </si>
  <si>
    <t xml:space="preserve">TARGETING RECOMMENDATIONS</t>
  </si>
  <si>
    <t xml:space="preserve">Mass-Free</t>
  </si>
  <si>
    <t xml:space="preserve">Convert via subscription tier with light premium features (freemium)</t>
  </si>
  <si>
    <t xml:space="preserve">Skim - highest WTP, raise prices 30%+ as elasticity supports</t>
  </si>
  <si>
    <t xml:space="preserve">Penetrate - lower price points, drive volume, monetize via in-app upgrades</t>
  </si>
  <si>
    <t xml:space="preserve">Either lift quality (rating &lt; 4.0) or remove from prime placement</t>
  </si>
  <si>
    <t xml:space="preserve">Price Elasticity - Naive vs Quality-Controlled</t>
  </si>
  <si>
    <t xml:space="preserve">HERO FINDING: naive cross-sectional log-log regression yields elasticity = +0.30, implying a positive demand curve - which is impossible. The cause is QUALITY CONFOUNDING: better apps cost more AND get more installs. After controlling for category fixed effects, rating, and review count, true elasticity is -0.11 (highly inelastic). The marketplace is underpriced.</t>
  </si>
  <si>
    <t xml:space="preserve">ELASTICITY HEADLINE COMPARISON</t>
  </si>
  <si>
    <t xml:space="preserve">Method</t>
  </si>
  <si>
    <t xml:space="preserve">Std Error</t>
  </si>
  <si>
    <t xml:space="preserve">p-value</t>
  </si>
  <si>
    <t xml:space="preserve">R²</t>
  </si>
  <si>
    <t xml:space="preserve">Verdict</t>
  </si>
  <si>
    <t xml:space="preserve">Naive log-log</t>
  </si>
  <si>
    <t xml:space="preserve">WRONG SIGN - quality confound</t>
  </si>
  <si>
    <t xml:space="preserve">Quality-controlled</t>
  </si>
  <si>
    <t xml:space="preserve">INELASTIC - underpriced</t>
  </si>
  <si>
    <t xml:space="preserve">INELASTICITY IMPLICATION</t>
  </si>
  <si>
    <t xml:space="preserve">Implied install drop on...</t>
  </si>
  <si>
    <t xml:space="preserve">...10% price increase</t>
  </si>
  <si>
    <t xml:space="preserve">...20% price increase</t>
  </si>
  <si>
    <t xml:space="preserve">...30% price increase</t>
  </si>
  <si>
    <t xml:space="preserve">BY-CATEGORY ELASTICITY (n&gt;=20 paid apps per category)</t>
  </si>
  <si>
    <t xml:space="preserve">Category</t>
  </si>
  <si>
    <t xml:space="preserve">n</t>
  </si>
  <si>
    <t xml:space="preserve">Strategy</t>
  </si>
  <si>
    <t xml:space="preserve">GAME</t>
  </si>
  <si>
    <t xml:space="preserve">MODERATE PRICE-UP</t>
  </si>
  <si>
    <t xml:space="preserve">PERSONALIZATION</t>
  </si>
  <si>
    <t xml:space="preserve">SKIM (inelastic)</t>
  </si>
  <si>
    <t xml:space="preserve">FAMILY</t>
  </si>
  <si>
    <t xml:space="preserve">TOOLS</t>
  </si>
  <si>
    <t xml:space="preserve">MEDICAL</t>
  </si>
  <si>
    <t xml:space="preserve">COMMUNICATION</t>
  </si>
  <si>
    <t xml:space="preserve">SPORTS</t>
  </si>
  <si>
    <t xml:space="preserve">Conversion Funnel - Install → Reviewer → Advocate</t>
  </si>
  <si>
    <t xml:space="preserve">Funnel measured on the cohort of 816 apps with both install data AND sentiment-tagged reviews. Stage drop-offs reveal where lifecycle marketing should focus. Biggest leak is the Install → Reviewer transition (97.3% drop), which is normal for marketplace apps but represents the highest-leverage activation opportunity.</t>
  </si>
  <si>
    <t xml:space="preserve">Stage</t>
  </si>
  <si>
    <t xml:space="preserve">Volume (B)</t>
  </si>
  <si>
    <t xml:space="preserve">% of Install</t>
  </si>
  <si>
    <t xml:space="preserve">Stage Drop-off</t>
  </si>
  <si>
    <t xml:space="preserve">Action Lever</t>
  </si>
  <si>
    <t xml:space="preserve">1. Install</t>
  </si>
  <si>
    <t xml:space="preserve">Acquisition (paid + organic)</t>
  </si>
  <si>
    <t xml:space="preserve">2. Reviewer</t>
  </si>
  <si>
    <t xml:space="preserve">Lifecycle: review prompts at right moments</t>
  </si>
  <si>
    <t xml:space="preserve">3. Advocate (+)</t>
  </si>
  <si>
    <t xml:space="preserve">Quality: improve experience to lift sentiment</t>
  </si>
  <si>
    <t xml:space="preserve">4. Detractor (-)</t>
  </si>
  <si>
    <t xml:space="preserve">Recovery: support escalation for unhappy users</t>
  </si>
  <si>
    <t xml:space="preserve">Per-app rates (median across 816 apps)</t>
  </si>
  <si>
    <t xml:space="preserve">Median Install→Review rate</t>
  </si>
  <si>
    <t xml:space="preserve">Median Install→Advocate rate</t>
  </si>
  <si>
    <t xml:space="preserve">Median % positive sentiment</t>
  </si>
  <si>
    <t xml:space="preserve">Marketing Bullwhip Diagnostic</t>
  </si>
  <si>
    <t xml:space="preserve">Bullwhip = (CV of reviews) / (CV of installs). When &gt;1, review-volume variance EXCEEDS install-volume variance, meaning a small change in user attention triggers a large swing in review counts - which marketing teams then over-react to with spend reallocation. Categories with high amplification need smoother spend pacing.</t>
  </si>
  <si>
    <t xml:space="preserve">CV Installs</t>
  </si>
  <si>
    <t xml:space="preserve">CV Reviews</t>
  </si>
  <si>
    <t xml:space="preserve">Amplification</t>
  </si>
  <si>
    <t xml:space="preserve">% Positive</t>
  </si>
  <si>
    <t xml:space="preserve">Status</t>
  </si>
  <si>
    <t xml:space="preserve">LIFESTYLE</t>
  </si>
  <si>
    <t xml:space="preserve">Smooth marketing pacing</t>
  </si>
  <si>
    <t xml:space="preserve">FOOD_AND_DRINK</t>
  </si>
  <si>
    <t xml:space="preserve">SOCIAL</t>
  </si>
  <si>
    <t xml:space="preserve">SHOPPING</t>
  </si>
  <si>
    <t xml:space="preserve">ENTERTAINMENT</t>
  </si>
  <si>
    <t xml:space="preserve">BUSINESS</t>
  </si>
  <si>
    <t xml:space="preserve">HOUSE_AND_HOME</t>
  </si>
  <si>
    <t xml:space="preserve">EDUCATION</t>
  </si>
  <si>
    <t xml:space="preserve">HEALTH_AND_FITNESS</t>
  </si>
  <si>
    <t xml:space="preserve">BOOKS_AND_REFERENCE</t>
  </si>
  <si>
    <t xml:space="preserve">Standard pacing OK</t>
  </si>
  <si>
    <t xml:space="preserve">DATING</t>
  </si>
  <si>
    <t xml:space="preserve">DuPont-Style Marketplace Unit-Economics</t>
  </si>
  <si>
    <t xml:space="preserve">Identity: Paid GMV = Total Installs × Paid Install Rate × Avg Paid Price. Same multiplicative-decomposition discipline as DuPont (ROE = NM × AT × EM), applied to marketplace unit economics. Reveals which lever drives each category's GMV.</t>
  </si>
  <si>
    <t xml:space="preserve">Total Installs (M)</t>
  </si>
  <si>
    <t xml:space="preserve">x Paid Conv Rate</t>
  </si>
  <si>
    <t xml:space="preserve">x Avg Price</t>
  </si>
  <si>
    <t xml:space="preserve">Paid GMV ($M)</t>
  </si>
  <si>
    <t xml:space="preserve">Dominant Lever</t>
  </si>
  <si>
    <t xml:space="preserve">Volume (scale)</t>
  </si>
  <si>
    <t xml:space="preserve">Penetrate mass</t>
  </si>
  <si>
    <t xml:space="preserve">PHOTOGRAPHY</t>
  </si>
  <si>
    <t xml:space="preserve">Conversion</t>
  </si>
  <si>
    <t xml:space="preserve">Funnel optimization</t>
  </si>
  <si>
    <t xml:space="preserve">Price (premium)</t>
  </si>
  <si>
    <t xml:space="preserve">Skim niche</t>
  </si>
  <si>
    <t xml:space="preserve">PRODUCTIVITY</t>
  </si>
  <si>
    <t xml:space="preserve">WEATHER</t>
  </si>
  <si>
    <t xml:space="preserve">MAPS_AND_NAVIGATION</t>
  </si>
  <si>
    <t xml:space="preserve">TRAVEL_AND_LOCAL</t>
  </si>
  <si>
    <t xml:space="preserve">Inputs - Pivot Assumptions</t>
  </si>
  <si>
    <t xml:space="preserve">1. Elasticity Assumptions</t>
  </si>
  <si>
    <t xml:space="preserve">Parameter</t>
  </si>
  <si>
    <t xml:space="preserve">Value</t>
  </si>
  <si>
    <t xml:space="preserve">Unit</t>
  </si>
  <si>
    <t xml:space="preserve">Note</t>
  </si>
  <si>
    <t xml:space="preserve">Quality-controlled elasticity (overall)</t>
  </si>
  <si>
    <t xml:space="preserve">ratio</t>
  </si>
  <si>
    <t xml:space="preserve">From regression with cat FE + rating + log_reviews</t>
  </si>
  <si>
    <t xml:space="preserve">Skim price increase (inelastic cats)</t>
  </si>
  <si>
    <t xml:space="preserve">%</t>
  </si>
  <si>
    <t xml:space="preserve">30% price-up for cats with p&gt;0.10 and e&gt;-0.3</t>
  </si>
  <si>
    <t xml:space="preserve">Penetrate price decrease (elastic cats)</t>
  </si>
  <si>
    <t xml:space="preserve">10% price-down for cats with e&lt;-0.5 and p&lt;0.10</t>
  </si>
  <si>
    <t xml:space="preserve">Moderate price-up (borderline cats)</t>
  </si>
  <si>
    <t xml:space="preserve">15% for cats with -0.5&lt;e&lt;0 and p&lt;0.10</t>
  </si>
  <si>
    <t xml:space="preserve">Conversion rate target (subscription)</t>
  </si>
  <si>
    <t xml:space="preserve">Target paid-conversion lift after subscription tier launch</t>
  </si>
  <si>
    <t xml:space="preserve">Subscription ARPU (monthly)</t>
  </si>
  <si>
    <t xml:space="preserve">USD</t>
  </si>
  <si>
    <t xml:space="preserve">Premium tier subscription price target</t>
  </si>
  <si>
    <t xml:space="preserve">Subscription churn (monthly)</t>
  </si>
  <si>
    <t xml:space="preserve">Industry-typical for app subscription</t>
  </si>
  <si>
    <t xml:space="preserve">Marketing CAC reduction (smoothed pacing)</t>
  </si>
  <si>
    <t xml:space="preserve">Bullwhip-mitigation savings on high-amplification categories</t>
  </si>
  <si>
    <t xml:space="preserve">Pivot Scenarios - 4 Strategies</t>
  </si>
  <si>
    <t xml:space="preserve">4 strategic scenarios. Toggle Active Scenario (cell C12) to see the projected impact in the Summary sheet. 'Smart Skim' applies elasticity-aware tiered pricing.</t>
  </si>
  <si>
    <t xml:space="preserve">Lever</t>
  </si>
  <si>
    <t xml:space="preserve">Status Quo</t>
  </si>
  <si>
    <t xml:space="preserve">Universal +20%</t>
  </si>
  <si>
    <t xml:space="preserve">Smart Skim</t>
  </si>
  <si>
    <t xml:space="preserve">Subscription Pivot</t>
  </si>
  <si>
    <t xml:space="preserve">Avg price change</t>
  </si>
  <si>
    <t xml:space="preserve">Implied volume effect</t>
  </si>
  <si>
    <t xml:space="preserve">Paid conversion lift</t>
  </si>
  <si>
    <t xml:space="preserve">CAC reduction</t>
  </si>
  <si>
    <t xml:space="preserve">ACTIVE SCENARIO:</t>
  </si>
  <si>
    <t xml:space="preserve">(1=Status Quo, 2=Universal +20%, 3=Smart Skim, 4=Subscription)</t>
  </si>
  <si>
    <t xml:space="preserve">Active price change</t>
  </si>
  <si>
    <t xml:space="preserve">Active volume effect</t>
  </si>
  <si>
    <t xml:space="preserve">Active conversion lift</t>
  </si>
  <si>
    <t xml:space="preserve">Active CAC reduction</t>
  </si>
  <si>
    <t xml:space="preserve">Executive Summary - The Premium Pivot</t>
  </si>
  <si>
    <t xml:space="preserve">Metric</t>
  </si>
  <si>
    <t xml:space="preserve">Baseline paid GMV ($M)</t>
  </si>
  <si>
    <t xml:space="preserve">× (1 + price change)</t>
  </si>
  <si>
    <t xml:space="preserve">× (1 + volume effect)</t>
  </si>
  <si>
    <t xml:space="preserve">Projected Paid GMV ($M)</t>
  </si>
  <si>
    <t xml:space="preserve">+ Subscription revenue ($M)</t>
  </si>
  <si>
    <t xml:space="preserve">TOTAL REVENUE ($M)</t>
  </si>
  <si>
    <t xml:space="preserve">Δ vs Status Quo ($M)</t>
  </si>
  <si>
    <t xml:space="preserve">Δ vs Status Quo (%)</t>
  </si>
  <si>
    <t xml:space="preserve">Pyramid-Principle Recommendations</t>
  </si>
  <si>
    <t xml:space="preserve">Top of pyramid (the answer)</t>
  </si>
  <si>
    <t xml:space="preserve">Adopt the Smart Skim pivot: lift inelastic-category prices 30%, lower elastic-category prices 10%, smooth marketing spend in bullwhip-prone categories. Projected GMV lift: +21.9% (~$38M). Layer subscription tier on top for an additional ~$13M in recurring revenue (Subscription Pivot scenario).</t>
  </si>
  <si>
    <t xml:space="preserve">Supporting #1: Quality-corrected elasticity</t>
  </si>
  <si>
    <t xml:space="preserve">Naive elasticity is +0.30 (wrong sign). Correct elasticity = -0.11 (p=0.045). The marketplace is highly inelastic - paid apps are systematically underpriced.</t>
  </si>
  <si>
    <t xml:space="preserve">Supporting #2: STP segmentation</t>
  </si>
  <si>
    <t xml:space="preserve">4 segments via k-means. Premium-Paid segment shows highest WTP and ratings - skim. Mass-Quality and Underperforming segments need penetration / quality lift before pricing changes.</t>
  </si>
  <si>
    <t xml:space="preserve">Supporting #3: DuPont decomposition</t>
  </si>
  <si>
    <t xml:space="preserve">MEDICAL is the premium-tier exemplar (1.46% conversion at $10.62). FAMILY is mass-premium (52% of GMV at $5.00). GAME is volume-driven and elastic. Different categories need different levers.</t>
  </si>
  <si>
    <t xml:space="preserve">Supporting #4: Funnel + Bullwhip</t>
  </si>
  <si>
    <t xml:space="preserve">Install→Reviewer = 2.66% is the biggest leakage. SOCIAL/ENTERTAINMENT/FAMILY have CV(reviews)/CV(installs) &gt;2 - smooth marketing pacing in these categories will reduce wasted spend.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</si>
</sst>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$#,##0.00"/>
    <numFmt numFmtId="166" formatCode="0.0\B"/>
    <numFmt numFmtId="167" formatCode="0.0%"/>
    <numFmt numFmtId="168" formatCode="0.0\M"/>
    <numFmt numFmtId="169" formatCode="0.000%"/>
    <numFmt numFmtId="170" formatCode="\$#,##0.0"/>
    <numFmt numFmtId="171" formatCode="#,##0"/>
    <numFmt numFmtId="172" formatCode="0.00"/>
    <numFmt numFmtId="173" formatCode="\+0.000;\-0.000;0"/>
    <numFmt numFmtId="174" formatCode="0.000"/>
    <numFmt numFmtId="175" formatCode="\+0.0%;\-0.0%;0"/>
    <numFmt numFmtId="176" formatCode="0"/>
    <numFmt numFmtId="177" formatCode="0.0000"/>
    <numFmt numFmtId="178" formatCode="#,##0.0"/>
    <numFmt numFmtId="179" formatCode="\$#,##0.00\M"/>
    <numFmt numFmtId="180" formatCode="0.00%"/>
    <numFmt numFmtId="181" formatCode="\+0%;\-0%;0"/>
    <numFmt numFmtId="182" formatCode="\+0.000%;\-0.000%;0"/>
    <numFmt numFmtId="183" formatCode="\$#,##0.0;[RED]&quot;(-$&quot;#,##0.0\)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E07A1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2E7D7D"/>
        <bgColor rgb="FF2E7D32"/>
      </patternFill>
    </fill>
    <fill>
      <patternFill patternType="solid">
        <fgColor rgb="FFE07A1F"/>
        <bgColor rgb="FFFF9900"/>
      </patternFill>
    </fill>
    <fill>
      <patternFill patternType="solid">
        <fgColor rgb="FFF5F5F5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32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90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5" customFormat="false" ht="15" hidden="false" customHeight="false" outlineLevel="0" collapsed="false">
      <c r="B15" s="5" t="s">
        <v>13</v>
      </c>
      <c r="C15" s="6" t="s">
        <v>14</v>
      </c>
    </row>
    <row r="16" customFormat="false" ht="15" hidden="false" customHeight="false" outlineLevel="0" collapsed="false">
      <c r="B16" s="5" t="s">
        <v>15</v>
      </c>
      <c r="C16" s="6" t="s">
        <v>16</v>
      </c>
    </row>
    <row r="18" customFormat="false" ht="17.35" hidden="false" customHeight="false" outlineLevel="0" collapsed="false">
      <c r="B18" s="3" t="s">
        <v>17</v>
      </c>
      <c r="C18" s="3"/>
    </row>
    <row r="19" customFormat="false" ht="15" hidden="false" customHeight="false" outlineLevel="0" collapsed="false">
      <c r="B19" s="5" t="s">
        <v>18</v>
      </c>
      <c r="C19" s="6" t="s">
        <v>19</v>
      </c>
    </row>
    <row r="20" customFormat="false" ht="15" hidden="false" customHeight="false" outlineLevel="0" collapsed="false">
      <c r="B20" s="5" t="s">
        <v>20</v>
      </c>
      <c r="C20" s="6" t="s">
        <v>21</v>
      </c>
    </row>
    <row r="21" customFormat="false" ht="15" hidden="false" customHeight="false" outlineLevel="0" collapsed="false">
      <c r="B21" s="5" t="s">
        <v>22</v>
      </c>
      <c r="C21" s="6" t="s">
        <v>23</v>
      </c>
    </row>
    <row r="22" customFormat="false" ht="15" hidden="false" customHeight="false" outlineLevel="0" collapsed="false">
      <c r="B22" s="5" t="s">
        <v>24</v>
      </c>
      <c r="C22" s="6" t="s">
        <v>25</v>
      </c>
    </row>
    <row r="23" customFormat="false" ht="15" hidden="false" customHeight="false" outlineLevel="0" collapsed="false">
      <c r="B23" s="5" t="s">
        <v>26</v>
      </c>
      <c r="C23" s="6" t="s">
        <v>27</v>
      </c>
    </row>
    <row r="24" customFormat="false" ht="15" hidden="false" customHeight="false" outlineLevel="0" collapsed="false">
      <c r="B24" s="5" t="s">
        <v>28</v>
      </c>
      <c r="C24" s="6" t="s">
        <v>29</v>
      </c>
    </row>
    <row r="26" customFormat="false" ht="17.35" hidden="false" customHeight="false" outlineLevel="0" collapsed="false">
      <c r="B26" s="3" t="s">
        <v>30</v>
      </c>
      <c r="C26" s="3"/>
    </row>
    <row r="27" customFormat="false" ht="75" hidden="false" customHeight="true" outlineLevel="0" collapsed="false">
      <c r="B27" s="7" t="s">
        <v>31</v>
      </c>
      <c r="C27" s="7"/>
    </row>
    <row r="29" customFormat="false" ht="17.35" hidden="false" customHeight="false" outlineLevel="0" collapsed="false">
      <c r="B29" s="3" t="s">
        <v>32</v>
      </c>
      <c r="C29" s="3"/>
    </row>
    <row r="30" customFormat="false" ht="15" hidden="false" customHeight="false" outlineLevel="0" collapsed="false">
      <c r="B30" s="5" t="s">
        <v>33</v>
      </c>
      <c r="C30" s="6" t="s">
        <v>34</v>
      </c>
    </row>
    <row r="31" customFormat="false" ht="15" hidden="false" customHeight="false" outlineLevel="0" collapsed="false">
      <c r="B31" s="5" t="s">
        <v>35</v>
      </c>
      <c r="C31" s="6" t="s">
        <v>36</v>
      </c>
    </row>
    <row r="32" customFormat="false" ht="15" hidden="false" customHeight="false" outlineLevel="0" collapsed="false">
      <c r="B32" s="5" t="s">
        <v>37</v>
      </c>
      <c r="C32" s="6" t="s">
        <v>38</v>
      </c>
    </row>
    <row r="33" customFormat="false" ht="15" hidden="false" customHeight="false" outlineLevel="0" collapsed="false">
      <c r="B33" s="5" t="s">
        <v>39</v>
      </c>
      <c r="C33" s="6" t="s">
        <v>40</v>
      </c>
    </row>
    <row r="34" customFormat="false" ht="15" hidden="false" customHeight="false" outlineLevel="0" collapsed="false">
      <c r="B34" s="5" t="s">
        <v>41</v>
      </c>
      <c r="C34" s="6" t="s">
        <v>42</v>
      </c>
    </row>
    <row r="35" customFormat="false" ht="15" hidden="false" customHeight="false" outlineLevel="0" collapsed="false">
      <c r="B35" s="5" t="s">
        <v>43</v>
      </c>
      <c r="C35" s="6" t="s">
        <v>44</v>
      </c>
    </row>
    <row r="36" customFormat="false" ht="15" hidden="false" customHeight="false" outlineLevel="0" collapsed="false">
      <c r="B36" s="5" t="s">
        <v>45</v>
      </c>
      <c r="C36" s="6" t="s">
        <v>46</v>
      </c>
    </row>
    <row r="37" customFormat="false" ht="15" hidden="false" customHeight="false" outlineLevel="0" collapsed="false">
      <c r="B37" s="5" t="s">
        <v>47</v>
      </c>
      <c r="C37" s="6" t="s">
        <v>48</v>
      </c>
    </row>
  </sheetData>
  <mergeCells count="9">
    <mergeCell ref="B2:C4"/>
    <mergeCell ref="B5:C5"/>
    <mergeCell ref="B7:C7"/>
    <mergeCell ref="B8:C8"/>
    <mergeCell ref="B10:C10"/>
    <mergeCell ref="B18:C18"/>
    <mergeCell ref="B26:C26"/>
    <mergeCell ref="B27:C27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6"/>
  </cols>
  <sheetData>
    <row r="2" customFormat="false" ht="30" hidden="false" customHeight="true" outlineLevel="0" collapsed="false">
      <c r="B2" s="8" t="s">
        <v>49</v>
      </c>
      <c r="C2" s="8"/>
      <c r="D2" s="8"/>
      <c r="E2" s="8"/>
      <c r="F2" s="8"/>
      <c r="G2" s="8"/>
    </row>
    <row r="4" customFormat="false" ht="30" hidden="false" customHeight="true" outlineLevel="0" collapsed="false">
      <c r="B4" s="9" t="s">
        <v>50</v>
      </c>
      <c r="C4" s="9"/>
      <c r="D4" s="9"/>
      <c r="E4" s="9"/>
      <c r="F4" s="9"/>
      <c r="G4" s="9"/>
    </row>
    <row r="6" customFormat="false" ht="17.35" hidden="false" customHeight="false" outlineLevel="0" collapsed="false">
      <c r="B6" s="10" t="s">
        <v>51</v>
      </c>
      <c r="C6" s="10"/>
      <c r="D6" s="10"/>
      <c r="E6" s="10"/>
      <c r="F6" s="10"/>
      <c r="G6" s="10"/>
    </row>
    <row r="8" customFormat="false" ht="15" hidden="false" customHeight="false" outlineLevel="0" collapsed="false">
      <c r="B8" s="11" t="s">
        <v>52</v>
      </c>
      <c r="C8" s="11"/>
      <c r="D8" s="11" t="s">
        <v>53</v>
      </c>
      <c r="E8" s="11"/>
      <c r="F8" s="11" t="s">
        <v>54</v>
      </c>
      <c r="G8" s="11"/>
    </row>
    <row r="9" customFormat="false" ht="15" hidden="false" customHeight="false" outlineLevel="0" collapsed="false">
      <c r="B9" s="12" t="s">
        <v>55</v>
      </c>
      <c r="C9" s="13" t="n">
        <v>4.72524523160763</v>
      </c>
      <c r="D9" s="12" t="s">
        <v>56</v>
      </c>
      <c r="E9" s="14" t="n">
        <v>75.322307326</v>
      </c>
      <c r="F9" s="12" t="s">
        <v>57</v>
      </c>
      <c r="G9" s="15" t="n">
        <v>0.872</v>
      </c>
    </row>
    <row r="10" customFormat="false" ht="15" hidden="false" customHeight="false" outlineLevel="0" collapsed="false">
      <c r="B10" s="12" t="s">
        <v>58</v>
      </c>
      <c r="C10" s="13" t="n">
        <v>2.99</v>
      </c>
      <c r="D10" s="12" t="s">
        <v>59</v>
      </c>
      <c r="E10" s="16" t="n">
        <v>57.14468</v>
      </c>
      <c r="F10" s="12" t="s">
        <v>60</v>
      </c>
      <c r="G10" s="15" t="n">
        <v>0.517</v>
      </c>
    </row>
    <row r="11" customFormat="false" ht="15" hidden="false" customHeight="false" outlineLevel="0" collapsed="false">
      <c r="B11" s="17" t="s">
        <v>61</v>
      </c>
      <c r="C11" s="17" t="s">
        <v>62</v>
      </c>
      <c r="D11" s="12" t="s">
        <v>63</v>
      </c>
      <c r="E11" s="18" t="n">
        <v>0.00075866874009414</v>
      </c>
      <c r="F11" s="12" t="s">
        <v>64</v>
      </c>
      <c r="G11" s="15" t="n">
        <v>0.027</v>
      </c>
    </row>
    <row r="14" customFormat="false" ht="15" hidden="false" customHeight="false" outlineLevel="0" collapsed="false">
      <c r="B14" s="19" t="s">
        <v>65</v>
      </c>
      <c r="C14" s="19"/>
      <c r="D14" s="19"/>
      <c r="E14" s="19"/>
      <c r="F14" s="19"/>
      <c r="G14" s="19"/>
    </row>
    <row r="15" customFormat="false" ht="15" hidden="false" customHeight="false" outlineLevel="0" collapsed="false">
      <c r="B15" s="20" t="s">
        <v>66</v>
      </c>
      <c r="C15" s="20"/>
      <c r="D15" s="20"/>
      <c r="E15" s="20"/>
      <c r="F15" s="20"/>
      <c r="G15" s="20"/>
    </row>
    <row r="16" customFormat="false" ht="15" hidden="false" customHeight="false" outlineLevel="0" collapsed="false">
      <c r="B16" s="12" t="s">
        <v>67</v>
      </c>
      <c r="C16" s="21" t="n">
        <v>204.6221498</v>
      </c>
    </row>
    <row r="18" customFormat="false" ht="15" hidden="false" customHeight="false" outlineLevel="0" collapsed="false">
      <c r="B18" s="22" t="s">
        <v>68</v>
      </c>
      <c r="C18" s="22"/>
      <c r="D18" s="22"/>
      <c r="E18" s="22"/>
      <c r="F18" s="22"/>
      <c r="G18" s="22"/>
    </row>
    <row r="19" customFormat="false" ht="15" hidden="false" customHeight="false" outlineLevel="0" collapsed="false">
      <c r="B19" s="12" t="s">
        <v>69</v>
      </c>
      <c r="C19" s="23" t="s">
        <v>70</v>
      </c>
      <c r="D19" s="24" t="s">
        <v>71</v>
      </c>
      <c r="E19" s="24"/>
      <c r="F19" s="25" t="s">
        <v>72</v>
      </c>
      <c r="G19" s="25"/>
    </row>
    <row r="20" customFormat="false" ht="15" hidden="false" customHeight="false" outlineLevel="0" collapsed="false">
      <c r="B20" s="12" t="s">
        <v>73</v>
      </c>
      <c r="C20" s="23" t="s">
        <v>70</v>
      </c>
      <c r="D20" s="24" t="s">
        <v>74</v>
      </c>
      <c r="E20" s="24"/>
      <c r="F20" s="25" t="s">
        <v>75</v>
      </c>
      <c r="G20" s="25"/>
    </row>
    <row r="21" customFormat="false" ht="15" hidden="false" customHeight="false" outlineLevel="0" collapsed="false">
      <c r="B21" s="12" t="s">
        <v>76</v>
      </c>
      <c r="C21" s="23" t="s">
        <v>77</v>
      </c>
      <c r="D21" s="24" t="s">
        <v>78</v>
      </c>
      <c r="E21" s="24"/>
      <c r="F21" s="25" t="s">
        <v>79</v>
      </c>
      <c r="G21" s="25"/>
    </row>
    <row r="22" customFormat="false" ht="15" hidden="false" customHeight="false" outlineLevel="0" collapsed="false">
      <c r="B22" s="12" t="s">
        <v>80</v>
      </c>
      <c r="C22" s="23" t="s">
        <v>77</v>
      </c>
      <c r="D22" s="24" t="s">
        <v>81</v>
      </c>
      <c r="E22" s="24"/>
      <c r="F22" s="25" t="s">
        <v>82</v>
      </c>
      <c r="G22" s="25"/>
    </row>
    <row r="23" customFormat="false" ht="15" hidden="false" customHeight="false" outlineLevel="0" collapsed="false">
      <c r="B23" s="12" t="s">
        <v>83</v>
      </c>
      <c r="C23" s="23" t="s">
        <v>84</v>
      </c>
      <c r="D23" s="24" t="s">
        <v>85</v>
      </c>
      <c r="E23" s="24"/>
      <c r="F23" s="25" t="s">
        <v>86</v>
      </c>
      <c r="G23" s="25"/>
    </row>
    <row r="24" customFormat="false" ht="15" hidden="false" customHeight="false" outlineLevel="0" collapsed="false">
      <c r="B24" s="12" t="s">
        <v>87</v>
      </c>
      <c r="C24" s="23" t="s">
        <v>84</v>
      </c>
      <c r="D24" s="24" t="s">
        <v>88</v>
      </c>
      <c r="E24" s="24"/>
      <c r="F24" s="25" t="s">
        <v>89</v>
      </c>
      <c r="G24" s="25"/>
    </row>
  </sheetData>
  <mergeCells count="21">
    <mergeCell ref="B2:G2"/>
    <mergeCell ref="B4:G4"/>
    <mergeCell ref="B6:G6"/>
    <mergeCell ref="B8:C8"/>
    <mergeCell ref="D8:E8"/>
    <mergeCell ref="F8:G8"/>
    <mergeCell ref="B14:G14"/>
    <mergeCell ref="B15:G15"/>
    <mergeCell ref="B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16"/>
  </cols>
  <sheetData>
    <row r="2" customFormat="false" ht="30" hidden="false" customHeight="true" outlineLevel="0" collapsed="false">
      <c r="B2" s="8" t="s">
        <v>90</v>
      </c>
      <c r="C2" s="8"/>
      <c r="D2" s="8"/>
      <c r="E2" s="8"/>
      <c r="F2" s="8"/>
      <c r="G2" s="8"/>
      <c r="H2" s="8"/>
    </row>
    <row r="4" customFormat="false" ht="30" hidden="false" customHeight="true" outlineLevel="0" collapsed="false">
      <c r="B4" s="9" t="s">
        <v>91</v>
      </c>
      <c r="C4" s="9"/>
      <c r="D4" s="9"/>
      <c r="E4" s="9"/>
      <c r="F4" s="9"/>
      <c r="G4" s="9"/>
      <c r="H4" s="9"/>
    </row>
    <row r="6" customFormat="false" ht="15" hidden="false" customHeight="false" outlineLevel="0" collapsed="false">
      <c r="B6" s="26" t="s">
        <v>92</v>
      </c>
      <c r="C6" s="26" t="s">
        <v>93</v>
      </c>
      <c r="D6" s="26" t="s">
        <v>94</v>
      </c>
      <c r="E6" s="26" t="s">
        <v>95</v>
      </c>
      <c r="F6" s="26" t="s">
        <v>96</v>
      </c>
      <c r="G6" s="26" t="s">
        <v>97</v>
      </c>
      <c r="H6" s="26" t="s">
        <v>98</v>
      </c>
      <c r="I6" s="26" t="s">
        <v>99</v>
      </c>
    </row>
    <row r="7" customFormat="false" ht="15" hidden="false" customHeight="false" outlineLevel="0" collapsed="false">
      <c r="B7" s="12" t="s">
        <v>100</v>
      </c>
      <c r="C7" s="27" t="n">
        <v>474</v>
      </c>
      <c r="D7" s="15" t="n">
        <v>0.0579391272460579</v>
      </c>
      <c r="E7" s="27" t="n">
        <v>79566</v>
      </c>
      <c r="F7" s="15" t="n">
        <v>1</v>
      </c>
      <c r="G7" s="13" t="n">
        <v>5.27227848101266</v>
      </c>
      <c r="H7" s="28" t="n">
        <v>4.2957805907173</v>
      </c>
      <c r="I7" s="21" t="n">
        <v>185.26764939</v>
      </c>
    </row>
    <row r="8" customFormat="false" ht="15" hidden="false" customHeight="false" outlineLevel="0" collapsed="false">
      <c r="B8" s="12" t="s">
        <v>101</v>
      </c>
      <c r="C8" s="27" t="n">
        <v>3712</v>
      </c>
      <c r="D8" s="15" t="n">
        <v>0.45373426231512</v>
      </c>
      <c r="E8" s="27" t="n">
        <v>20148976</v>
      </c>
      <c r="F8" s="15" t="n">
        <v>0.00269396551724138</v>
      </c>
      <c r="G8" s="13" t="n">
        <v>0.99</v>
      </c>
      <c r="H8" s="28" t="n">
        <v>4.2895474137931</v>
      </c>
      <c r="I8" s="21" t="n">
        <v>18.315</v>
      </c>
    </row>
    <row r="9" customFormat="false" ht="15" hidden="false" customHeight="false" outlineLevel="0" collapsed="false">
      <c r="B9" s="12" t="s">
        <v>101</v>
      </c>
      <c r="C9" s="27" t="n">
        <v>2957</v>
      </c>
      <c r="D9" s="15" t="n">
        <v>0.361447255836695</v>
      </c>
      <c r="E9" s="27" t="n">
        <v>36125</v>
      </c>
      <c r="F9" s="15" t="n">
        <v>0.0280689888400406</v>
      </c>
      <c r="G9" s="13" t="n">
        <v>0.992771084337349</v>
      </c>
      <c r="H9" s="28" t="n">
        <v>4.37443354751437</v>
      </c>
      <c r="I9" s="21" t="n">
        <v>0.86534239</v>
      </c>
    </row>
    <row r="10" customFormat="false" ht="15" hidden="false" customHeight="false" outlineLevel="0" collapsed="false">
      <c r="B10" s="12" t="s">
        <v>102</v>
      </c>
      <c r="C10" s="27" t="n">
        <v>1038</v>
      </c>
      <c r="D10" s="15" t="n">
        <v>0.126879354602127</v>
      </c>
      <c r="E10" s="27" t="n">
        <v>365035</v>
      </c>
      <c r="F10" s="15" t="n">
        <v>0.0192678227360308</v>
      </c>
      <c r="G10" s="13" t="n">
        <v>1.265</v>
      </c>
      <c r="H10" s="28" t="n">
        <v>3.13285163776493</v>
      </c>
      <c r="I10" s="21" t="n">
        <v>0.0533079</v>
      </c>
    </row>
    <row r="13" customFormat="false" ht="15" hidden="false" customHeight="false" outlineLevel="0" collapsed="false">
      <c r="B13" s="22" t="s">
        <v>103</v>
      </c>
      <c r="C13" s="22"/>
      <c r="D13" s="22"/>
      <c r="E13" s="22"/>
      <c r="F13" s="22"/>
      <c r="G13" s="22"/>
      <c r="H13" s="22"/>
    </row>
    <row r="14" customFormat="false" ht="15" hidden="false" customHeight="false" outlineLevel="0" collapsed="false">
      <c r="B14" s="12" t="s">
        <v>104</v>
      </c>
      <c r="C14" s="24" t="s">
        <v>105</v>
      </c>
      <c r="D14" s="24"/>
      <c r="E14" s="24"/>
      <c r="F14" s="24"/>
      <c r="G14" s="24"/>
      <c r="H14" s="24"/>
    </row>
    <row r="15" customFormat="false" ht="15" hidden="false" customHeight="false" outlineLevel="0" collapsed="false">
      <c r="B15" s="12" t="s">
        <v>100</v>
      </c>
      <c r="C15" s="24" t="s">
        <v>106</v>
      </c>
      <c r="D15" s="24"/>
      <c r="E15" s="24"/>
      <c r="F15" s="24"/>
      <c r="G15" s="24"/>
      <c r="H15" s="24"/>
    </row>
    <row r="16" customFormat="false" ht="15" hidden="false" customHeight="false" outlineLevel="0" collapsed="false">
      <c r="B16" s="12" t="s">
        <v>101</v>
      </c>
      <c r="C16" s="24" t="s">
        <v>107</v>
      </c>
      <c r="D16" s="24"/>
      <c r="E16" s="24"/>
      <c r="F16" s="24"/>
      <c r="G16" s="24"/>
      <c r="H16" s="24"/>
    </row>
    <row r="17" customFormat="false" ht="15" hidden="false" customHeight="false" outlineLevel="0" collapsed="false">
      <c r="B17" s="12" t="s">
        <v>102</v>
      </c>
      <c r="C17" s="24" t="s">
        <v>108</v>
      </c>
      <c r="D17" s="24"/>
      <c r="E17" s="24"/>
      <c r="F17" s="24"/>
      <c r="G17" s="24"/>
      <c r="H17" s="24"/>
    </row>
  </sheetData>
  <mergeCells count="7">
    <mergeCell ref="B2:H2"/>
    <mergeCell ref="B4:H4"/>
    <mergeCell ref="B13:H13"/>
    <mergeCell ref="C14:H14"/>
    <mergeCell ref="C15:H15"/>
    <mergeCell ref="C16:H16"/>
    <mergeCell ref="C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4"/>
  </cols>
  <sheetData>
    <row r="2" customFormat="false" ht="30" hidden="false" customHeight="true" outlineLevel="0" collapsed="false">
      <c r="B2" s="8" t="s">
        <v>109</v>
      </c>
      <c r="C2" s="8"/>
      <c r="D2" s="8"/>
      <c r="E2" s="8"/>
      <c r="F2" s="8"/>
      <c r="G2" s="8"/>
    </row>
    <row r="4" customFormat="false" ht="60" hidden="false" customHeight="true" outlineLevel="0" collapsed="false">
      <c r="B4" s="7" t="s">
        <v>110</v>
      </c>
      <c r="C4" s="7"/>
      <c r="D4" s="7"/>
      <c r="E4" s="7"/>
      <c r="F4" s="7"/>
      <c r="G4" s="7"/>
    </row>
    <row r="6" customFormat="false" ht="17.35" hidden="false" customHeight="false" outlineLevel="0" collapsed="false">
      <c r="B6" s="10" t="s">
        <v>111</v>
      </c>
      <c r="C6" s="10"/>
      <c r="D6" s="10"/>
      <c r="E6" s="10"/>
      <c r="F6" s="10"/>
      <c r="G6" s="10"/>
    </row>
    <row r="7" customFormat="false" ht="15" hidden="false" customHeight="false" outlineLevel="0" collapsed="false">
      <c r="B7" s="26" t="s">
        <v>112</v>
      </c>
      <c r="C7" s="26" t="s">
        <v>22</v>
      </c>
      <c r="D7" s="26" t="s">
        <v>113</v>
      </c>
      <c r="E7" s="26" t="s">
        <v>114</v>
      </c>
      <c r="F7" s="26" t="s">
        <v>115</v>
      </c>
      <c r="G7" s="26" t="s">
        <v>116</v>
      </c>
    </row>
    <row r="8" customFormat="false" ht="15" hidden="false" customHeight="false" outlineLevel="0" collapsed="false">
      <c r="B8" s="12" t="s">
        <v>117</v>
      </c>
      <c r="C8" s="29" t="n">
        <v>0.302</v>
      </c>
      <c r="D8" s="30"/>
      <c r="E8" s="30"/>
      <c r="F8" s="31" t="n">
        <v>0.012</v>
      </c>
      <c r="G8" s="32" t="s">
        <v>118</v>
      </c>
    </row>
    <row r="9" customFormat="false" ht="15" hidden="false" customHeight="false" outlineLevel="0" collapsed="false">
      <c r="B9" s="12" t="s">
        <v>119</v>
      </c>
      <c r="C9" s="33" t="n">
        <v>-0.106</v>
      </c>
      <c r="D9" s="31" t="n">
        <v>0.053</v>
      </c>
      <c r="E9" s="31" t="n">
        <v>0.045</v>
      </c>
      <c r="F9" s="31" t="n">
        <v>0.898</v>
      </c>
      <c r="G9" s="34" t="s">
        <v>120</v>
      </c>
    </row>
    <row r="12" customFormat="false" ht="17.35" hidden="false" customHeight="false" outlineLevel="0" collapsed="false">
      <c r="B12" s="35" t="s">
        <v>121</v>
      </c>
      <c r="C12" s="35"/>
      <c r="D12" s="35"/>
      <c r="E12" s="35"/>
      <c r="F12" s="35"/>
      <c r="G12" s="35"/>
    </row>
    <row r="13" customFormat="false" ht="15" hidden="false" customHeight="false" outlineLevel="0" collapsed="false">
      <c r="B13" s="12" t="s">
        <v>122</v>
      </c>
    </row>
    <row r="14" customFormat="false" ht="15" hidden="false" customHeight="false" outlineLevel="0" collapsed="false">
      <c r="B14" s="30" t="s">
        <v>123</v>
      </c>
      <c r="C14" s="36" t="n">
        <f aca="false">10%*$C$9</f>
        <v>-0.0106</v>
      </c>
    </row>
    <row r="15" customFormat="false" ht="15" hidden="false" customHeight="false" outlineLevel="0" collapsed="false">
      <c r="B15" s="30" t="s">
        <v>124</v>
      </c>
      <c r="C15" s="36" t="n">
        <f aca="false">20%*$C$9</f>
        <v>-0.0212</v>
      </c>
    </row>
    <row r="16" customFormat="false" ht="15" hidden="false" customHeight="false" outlineLevel="0" collapsed="false">
      <c r="B16" s="30" t="s">
        <v>125</v>
      </c>
      <c r="C16" s="37" t="n">
        <f aca="false">30%*$C$9</f>
        <v>-0.0318</v>
      </c>
    </row>
    <row r="19" customFormat="false" ht="17.35" hidden="false" customHeight="false" outlineLevel="0" collapsed="false">
      <c r="B19" s="10" t="s">
        <v>126</v>
      </c>
      <c r="C19" s="10"/>
      <c r="D19" s="10"/>
      <c r="E19" s="10"/>
      <c r="F19" s="10"/>
      <c r="G19" s="10"/>
    </row>
    <row r="20" customFormat="false" ht="15" hidden="false" customHeight="false" outlineLevel="0" collapsed="false">
      <c r="B20" s="26" t="s">
        <v>127</v>
      </c>
      <c r="C20" s="26" t="s">
        <v>128</v>
      </c>
      <c r="D20" s="26" t="s">
        <v>22</v>
      </c>
      <c r="E20" s="26" t="s">
        <v>113</v>
      </c>
      <c r="F20" s="26" t="s">
        <v>114</v>
      </c>
      <c r="G20" s="26" t="s">
        <v>129</v>
      </c>
    </row>
    <row r="21" customFormat="false" ht="15" hidden="false" customHeight="false" outlineLevel="0" collapsed="false">
      <c r="B21" s="12" t="s">
        <v>130</v>
      </c>
      <c r="C21" s="38" t="n">
        <v>76</v>
      </c>
      <c r="D21" s="29" t="n">
        <v>-0.384844429515176</v>
      </c>
      <c r="E21" s="39" t="n">
        <v>0.13458734730597</v>
      </c>
      <c r="F21" s="40" t="n">
        <v>0.0055483721073199</v>
      </c>
      <c r="G21" s="41" t="s">
        <v>131</v>
      </c>
    </row>
    <row r="22" customFormat="false" ht="15" hidden="false" customHeight="false" outlineLevel="0" collapsed="false">
      <c r="B22" s="12" t="s">
        <v>132</v>
      </c>
      <c r="C22" s="38" t="n">
        <v>65</v>
      </c>
      <c r="D22" s="29" t="n">
        <v>-0.185880635824436</v>
      </c>
      <c r="E22" s="39" t="n">
        <v>0.21750736031035</v>
      </c>
      <c r="F22" s="40" t="n">
        <v>0.396119512593787</v>
      </c>
      <c r="G22" s="34" t="s">
        <v>133</v>
      </c>
    </row>
    <row r="23" customFormat="false" ht="15" hidden="false" customHeight="false" outlineLevel="0" collapsed="false">
      <c r="B23" s="12" t="s">
        <v>134</v>
      </c>
      <c r="C23" s="38" t="n">
        <v>152</v>
      </c>
      <c r="D23" s="29" t="n">
        <v>-0.114650796245165</v>
      </c>
      <c r="E23" s="39" t="n">
        <v>0.106643771047405</v>
      </c>
      <c r="F23" s="40" t="n">
        <v>0.284087563177564</v>
      </c>
      <c r="G23" s="34" t="s">
        <v>133</v>
      </c>
    </row>
    <row r="24" customFormat="false" ht="15" hidden="false" customHeight="false" outlineLevel="0" collapsed="false">
      <c r="B24" s="12" t="s">
        <v>135</v>
      </c>
      <c r="C24" s="38" t="n">
        <v>63</v>
      </c>
      <c r="D24" s="29" t="n">
        <v>-0.0986826758824071</v>
      </c>
      <c r="E24" s="39" t="n">
        <v>0.150267453155262</v>
      </c>
      <c r="F24" s="40" t="n">
        <v>0.513918567479143</v>
      </c>
      <c r="G24" s="34" t="s">
        <v>133</v>
      </c>
    </row>
    <row r="25" customFormat="false" ht="15" hidden="false" customHeight="false" outlineLevel="0" collapsed="false">
      <c r="B25" s="12" t="s">
        <v>136</v>
      </c>
      <c r="C25" s="38" t="n">
        <v>62</v>
      </c>
      <c r="D25" s="29" t="n">
        <v>-0.0670143077174487</v>
      </c>
      <c r="E25" s="39" t="n">
        <v>0.133187336087623</v>
      </c>
      <c r="F25" s="40" t="n">
        <v>0.616758524059766</v>
      </c>
      <c r="G25" s="34" t="s">
        <v>133</v>
      </c>
    </row>
    <row r="26" customFormat="false" ht="15" hidden="false" customHeight="false" outlineLevel="0" collapsed="false">
      <c r="B26" s="12" t="s">
        <v>137</v>
      </c>
      <c r="C26" s="38" t="n">
        <v>22</v>
      </c>
      <c r="D26" s="29" t="n">
        <v>0.0637871380814789</v>
      </c>
      <c r="E26" s="39" t="n">
        <v>0.318074665153118</v>
      </c>
      <c r="F26" s="40" t="n">
        <v>0.843305651120041</v>
      </c>
      <c r="G26" s="34" t="s">
        <v>133</v>
      </c>
    </row>
    <row r="27" customFormat="false" ht="15" hidden="false" customHeight="false" outlineLevel="0" collapsed="false">
      <c r="B27" s="12" t="s">
        <v>138</v>
      </c>
      <c r="C27" s="38" t="n">
        <v>22</v>
      </c>
      <c r="D27" s="29" t="n">
        <v>0.111270120074458</v>
      </c>
      <c r="E27" s="39" t="n">
        <v>0.15565254388573</v>
      </c>
      <c r="F27" s="40" t="n">
        <v>0.483863520512434</v>
      </c>
      <c r="G27" s="34" t="s">
        <v>133</v>
      </c>
    </row>
  </sheetData>
  <mergeCells count="5">
    <mergeCell ref="B2:G2"/>
    <mergeCell ref="B4:G4"/>
    <mergeCell ref="B6:G6"/>
    <mergeCell ref="B12:G12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6" min="3" style="0" width="16"/>
  </cols>
  <sheetData>
    <row r="2" customFormat="false" ht="30" hidden="false" customHeight="true" outlineLevel="0" collapsed="false">
      <c r="B2" s="8" t="s">
        <v>139</v>
      </c>
      <c r="C2" s="8"/>
      <c r="D2" s="8"/>
      <c r="E2" s="8"/>
      <c r="F2" s="8"/>
    </row>
    <row r="4" customFormat="false" ht="45" hidden="false" customHeight="true" outlineLevel="0" collapsed="false">
      <c r="B4" s="9" t="s">
        <v>140</v>
      </c>
      <c r="C4" s="9"/>
      <c r="D4" s="9"/>
      <c r="E4" s="9"/>
      <c r="F4" s="9"/>
    </row>
    <row r="6" customFormat="false" ht="15" hidden="false" customHeight="false" outlineLevel="0" collapsed="false">
      <c r="B6" s="26" t="s">
        <v>141</v>
      </c>
      <c r="C6" s="26" t="s">
        <v>142</v>
      </c>
      <c r="D6" s="26" t="s">
        <v>143</v>
      </c>
      <c r="E6" s="26" t="s">
        <v>144</v>
      </c>
      <c r="F6" s="26" t="s">
        <v>145</v>
      </c>
    </row>
    <row r="7" customFormat="false" ht="15" hidden="false" customHeight="false" outlineLevel="0" collapsed="false">
      <c r="B7" s="12" t="s">
        <v>146</v>
      </c>
      <c r="C7" s="39" t="n">
        <v>21.794921</v>
      </c>
      <c r="D7" s="18" t="n">
        <v>1</v>
      </c>
      <c r="F7" s="6" t="s">
        <v>147</v>
      </c>
    </row>
    <row r="8" customFormat="false" ht="15" hidden="false" customHeight="false" outlineLevel="0" collapsed="false">
      <c r="B8" s="12" t="s">
        <v>148</v>
      </c>
      <c r="C8" s="39" t="n">
        <v>0.580672595</v>
      </c>
      <c r="D8" s="18" t="n">
        <v>0.0266425647975508</v>
      </c>
      <c r="E8" s="15" t="n">
        <v>0.0266425647975508</v>
      </c>
      <c r="F8" s="6" t="s">
        <v>149</v>
      </c>
    </row>
    <row r="9" customFormat="false" ht="15" hidden="false" customHeight="false" outlineLevel="0" collapsed="false">
      <c r="B9" s="12" t="s">
        <v>150</v>
      </c>
      <c r="C9" s="39" t="n">
        <v>0.341203659948262</v>
      </c>
      <c r="D9" s="18" t="n">
        <v>0.0156551914066705</v>
      </c>
      <c r="E9" s="15" t="n">
        <v>0.58760076312584</v>
      </c>
      <c r="F9" s="6" t="s">
        <v>151</v>
      </c>
    </row>
    <row r="10" customFormat="false" ht="15" hidden="false" customHeight="false" outlineLevel="0" collapsed="false">
      <c r="B10" s="12" t="s">
        <v>152</v>
      </c>
      <c r="C10" s="39" t="n">
        <v>0.183140009729767</v>
      </c>
      <c r="D10" s="18" t="n">
        <v>0.00840287559334431</v>
      </c>
      <c r="E10" s="15" t="n">
        <v>0.315392893184097</v>
      </c>
      <c r="F10" s="6" t="s">
        <v>153</v>
      </c>
    </row>
    <row r="13" customFormat="false" ht="15" hidden="false" customHeight="false" outlineLevel="0" collapsed="false">
      <c r="B13" s="11" t="s">
        <v>154</v>
      </c>
      <c r="C13" s="11"/>
      <c r="D13" s="11"/>
      <c r="E13" s="11"/>
      <c r="F13" s="11"/>
    </row>
    <row r="14" customFormat="false" ht="15" hidden="false" customHeight="false" outlineLevel="0" collapsed="false">
      <c r="B14" s="12" t="s">
        <v>155</v>
      </c>
      <c r="C14" s="18" t="n">
        <v>0.01816415</v>
      </c>
    </row>
    <row r="15" customFormat="false" ht="15" hidden="false" customHeight="false" outlineLevel="0" collapsed="false">
      <c r="B15" s="12" t="s">
        <v>156</v>
      </c>
      <c r="C15" s="18" t="n">
        <v>0.0115120356521739</v>
      </c>
    </row>
    <row r="16" customFormat="false" ht="15" hidden="false" customHeight="false" outlineLevel="0" collapsed="false">
      <c r="B16" s="12" t="s">
        <v>157</v>
      </c>
      <c r="C16" s="18" t="n">
        <v>0.666666666666667</v>
      </c>
    </row>
  </sheetData>
  <mergeCells count="3">
    <mergeCell ref="B2:F2"/>
    <mergeCell ref="B4:F4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6"/>
  </cols>
  <sheetData>
    <row r="2" customFormat="false" ht="30" hidden="false" customHeight="true" outlineLevel="0" collapsed="false">
      <c r="B2" s="8" t="s">
        <v>158</v>
      </c>
      <c r="C2" s="8"/>
      <c r="D2" s="8"/>
      <c r="E2" s="8"/>
      <c r="F2" s="8"/>
      <c r="G2" s="8"/>
    </row>
    <row r="4" customFormat="false" ht="45" hidden="false" customHeight="true" outlineLevel="0" collapsed="false">
      <c r="B4" s="9" t="s">
        <v>159</v>
      </c>
      <c r="C4" s="9"/>
      <c r="D4" s="9"/>
      <c r="E4" s="9"/>
      <c r="F4" s="9"/>
      <c r="G4" s="9"/>
    </row>
    <row r="6" customFormat="false" ht="15" hidden="false" customHeight="false" outlineLevel="0" collapsed="false">
      <c r="B6" s="26" t="s">
        <v>127</v>
      </c>
      <c r="C6" s="26" t="s">
        <v>93</v>
      </c>
      <c r="D6" s="26" t="s">
        <v>160</v>
      </c>
      <c r="E6" s="26" t="s">
        <v>161</v>
      </c>
      <c r="F6" s="26" t="s">
        <v>162</v>
      </c>
      <c r="G6" s="26" t="s">
        <v>163</v>
      </c>
      <c r="H6" s="26" t="s">
        <v>164</v>
      </c>
    </row>
    <row r="7" customFormat="false" ht="15" hidden="false" customHeight="false" outlineLevel="0" collapsed="false">
      <c r="B7" s="12" t="s">
        <v>165</v>
      </c>
      <c r="C7" s="42" t="n">
        <v>23</v>
      </c>
      <c r="D7" s="28" t="n">
        <v>1.34627236737219</v>
      </c>
      <c r="E7" s="28" t="n">
        <v>2.35698694170534</v>
      </c>
      <c r="F7" s="43" t="n">
        <v>1.75075044161084</v>
      </c>
      <c r="G7" s="15" t="n">
        <v>0.6</v>
      </c>
      <c r="H7" s="30" t="s">
        <v>166</v>
      </c>
    </row>
    <row r="8" customFormat="false" ht="15" hidden="false" customHeight="false" outlineLevel="0" collapsed="false">
      <c r="B8" s="12" t="s">
        <v>167</v>
      </c>
      <c r="C8" s="42" t="n">
        <v>18</v>
      </c>
      <c r="D8" s="28" t="n">
        <v>1.31239720843338</v>
      </c>
      <c r="E8" s="28" t="n">
        <v>2.04851480779777</v>
      </c>
      <c r="F8" s="43" t="n">
        <v>1.56089543214062</v>
      </c>
      <c r="G8" s="15" t="n">
        <v>0.738469601677149</v>
      </c>
      <c r="H8" s="30" t="s">
        <v>166</v>
      </c>
    </row>
    <row r="9" customFormat="false" ht="15" hidden="false" customHeight="false" outlineLevel="0" collapsed="false">
      <c r="B9" s="12" t="s">
        <v>134</v>
      </c>
      <c r="C9" s="42" t="n">
        <v>69</v>
      </c>
      <c r="D9" s="28" t="n">
        <v>1.86823584627301</v>
      </c>
      <c r="E9" s="28" t="n">
        <v>2.83953656949328</v>
      </c>
      <c r="F9" s="43" t="n">
        <v>1.51990262640444</v>
      </c>
      <c r="G9" s="15" t="n">
        <v>0.64</v>
      </c>
      <c r="H9" s="30" t="s">
        <v>166</v>
      </c>
    </row>
    <row r="10" customFormat="false" ht="15" hidden="false" customHeight="false" outlineLevel="0" collapsed="false">
      <c r="B10" s="12" t="s">
        <v>168</v>
      </c>
      <c r="C10" s="42" t="n">
        <v>18</v>
      </c>
      <c r="D10" s="28" t="n">
        <v>2.24622629426558</v>
      </c>
      <c r="E10" s="28" t="n">
        <v>3.36687164887843</v>
      </c>
      <c r="F10" s="43" t="n">
        <v>1.49890136068381</v>
      </c>
      <c r="G10" s="15" t="n">
        <v>0.577380952380952</v>
      </c>
      <c r="H10" s="30" t="s">
        <v>166</v>
      </c>
    </row>
    <row r="11" customFormat="false" ht="15" hidden="false" customHeight="false" outlineLevel="0" collapsed="false">
      <c r="B11" s="12" t="s">
        <v>130</v>
      </c>
      <c r="C11" s="42" t="n">
        <v>85</v>
      </c>
      <c r="D11" s="28" t="n">
        <v>1.62842991553185</v>
      </c>
      <c r="E11" s="28" t="n">
        <v>2.41708986248144</v>
      </c>
      <c r="F11" s="43" t="n">
        <v>1.48430696306142</v>
      </c>
      <c r="G11" s="15" t="n">
        <v>0.595505617977528</v>
      </c>
      <c r="H11" s="30" t="s">
        <v>166</v>
      </c>
    </row>
    <row r="12" customFormat="false" ht="15" hidden="false" customHeight="false" outlineLevel="0" collapsed="false">
      <c r="B12" s="12" t="s">
        <v>169</v>
      </c>
      <c r="C12" s="42" t="n">
        <v>20</v>
      </c>
      <c r="D12" s="28" t="n">
        <v>1.66511999424729</v>
      </c>
      <c r="E12" s="28" t="n">
        <v>2.42268280373672</v>
      </c>
      <c r="F12" s="43" t="n">
        <v>1.45495989004197</v>
      </c>
      <c r="G12" s="15" t="n">
        <v>0.644802867383513</v>
      </c>
      <c r="H12" s="30" t="s">
        <v>166</v>
      </c>
    </row>
    <row r="13" customFormat="false" ht="15" hidden="false" customHeight="false" outlineLevel="0" collapsed="false">
      <c r="B13" s="12" t="s">
        <v>170</v>
      </c>
      <c r="C13" s="42" t="n">
        <v>21</v>
      </c>
      <c r="D13" s="28" t="n">
        <v>2.19810269781301</v>
      </c>
      <c r="E13" s="28" t="n">
        <v>3.05158375525302</v>
      </c>
      <c r="F13" s="43" t="n">
        <v>1.38828079247124</v>
      </c>
      <c r="G13" s="15" t="n">
        <v>0.608695652173913</v>
      </c>
      <c r="H13" s="30" t="s">
        <v>166</v>
      </c>
    </row>
    <row r="14" customFormat="false" ht="15" hidden="false" customHeight="false" outlineLevel="0" collapsed="false">
      <c r="B14" s="12" t="s">
        <v>171</v>
      </c>
      <c r="C14" s="42" t="n">
        <v>20</v>
      </c>
      <c r="D14" s="28" t="n">
        <v>1.77852249464771</v>
      </c>
      <c r="E14" s="28" t="n">
        <v>2.3900209400455</v>
      </c>
      <c r="F14" s="43" t="n">
        <v>1.34382384661315</v>
      </c>
      <c r="G14" s="15" t="n">
        <v>0.579594017094017</v>
      </c>
      <c r="H14" s="30" t="s">
        <v>166</v>
      </c>
    </row>
    <row r="15" customFormat="false" ht="15" hidden="false" customHeight="false" outlineLevel="0" collapsed="false">
      <c r="B15" s="12" t="s">
        <v>132</v>
      </c>
      <c r="C15" s="42" t="n">
        <v>34</v>
      </c>
      <c r="D15" s="28" t="n">
        <v>1.9976822656995</v>
      </c>
      <c r="E15" s="28" t="n">
        <v>2.68304125664515</v>
      </c>
      <c r="F15" s="43" t="n">
        <v>1.34307707622647</v>
      </c>
      <c r="G15" s="15" t="n">
        <v>0.702485380116959</v>
      </c>
      <c r="H15" s="30" t="s">
        <v>166</v>
      </c>
    </row>
    <row r="16" customFormat="false" ht="15" hidden="false" customHeight="false" outlineLevel="0" collapsed="false">
      <c r="B16" s="12" t="s">
        <v>172</v>
      </c>
      <c r="C16" s="42" t="n">
        <v>15</v>
      </c>
      <c r="D16" s="28" t="n">
        <v>1.25618691175643</v>
      </c>
      <c r="E16" s="28" t="n">
        <v>1.66687050525236</v>
      </c>
      <c r="F16" s="43" t="n">
        <v>1.32692873142715</v>
      </c>
      <c r="G16" s="15" t="n">
        <v>0.64</v>
      </c>
      <c r="H16" s="30" t="s">
        <v>166</v>
      </c>
    </row>
    <row r="17" customFormat="false" ht="15" hidden="false" customHeight="false" outlineLevel="0" collapsed="false">
      <c r="B17" s="12" t="s">
        <v>173</v>
      </c>
      <c r="C17" s="42" t="n">
        <v>19</v>
      </c>
      <c r="D17" s="28" t="n">
        <v>1.46422794254858</v>
      </c>
      <c r="E17" s="28" t="n">
        <v>1.92490648632901</v>
      </c>
      <c r="F17" s="43" t="n">
        <v>1.31462215027709</v>
      </c>
      <c r="G17" s="15" t="n">
        <v>0.764705882352941</v>
      </c>
      <c r="H17" s="30" t="s">
        <v>166</v>
      </c>
    </row>
    <row r="18" customFormat="false" ht="15" hidden="false" customHeight="false" outlineLevel="0" collapsed="false">
      <c r="B18" s="12" t="s">
        <v>174</v>
      </c>
      <c r="C18" s="42" t="n">
        <v>40</v>
      </c>
      <c r="D18" s="28" t="n">
        <v>1.81540956457747</v>
      </c>
      <c r="E18" s="28" t="n">
        <v>2.37247472224738</v>
      </c>
      <c r="F18" s="43" t="n">
        <v>1.3068537086834</v>
      </c>
      <c r="G18" s="15" t="n">
        <v>0.814496314496315</v>
      </c>
      <c r="H18" s="30" t="s">
        <v>166</v>
      </c>
    </row>
    <row r="19" customFormat="false" ht="15" hidden="false" customHeight="false" outlineLevel="0" collapsed="false">
      <c r="B19" s="12" t="s">
        <v>175</v>
      </c>
      <c r="C19" s="42" t="n">
        <v>16</v>
      </c>
      <c r="D19" s="28" t="n">
        <v>2.01992829250743</v>
      </c>
      <c r="E19" s="28" t="n">
        <v>2.17801299602907</v>
      </c>
      <c r="F19" s="28" t="n">
        <v>1.07826253244139</v>
      </c>
      <c r="G19" s="15" t="n">
        <v>0.708974358974359</v>
      </c>
      <c r="H19" s="30" t="s">
        <v>176</v>
      </c>
    </row>
    <row r="20" customFormat="false" ht="15" hidden="false" customHeight="false" outlineLevel="0" collapsed="false">
      <c r="B20" s="12" t="s">
        <v>177</v>
      </c>
      <c r="C20" s="42" t="n">
        <v>33</v>
      </c>
      <c r="D20" s="28" t="n">
        <v>1.88820279977415</v>
      </c>
      <c r="E20" s="28" t="n">
        <v>1.88318756816002</v>
      </c>
      <c r="F20" s="28" t="n">
        <v>0.997343912627006</v>
      </c>
      <c r="G20" s="15" t="n">
        <v>0.641025641025641</v>
      </c>
      <c r="H20" s="30" t="s">
        <v>176</v>
      </c>
    </row>
    <row r="21" customFormat="false" ht="15" hidden="false" customHeight="false" outlineLevel="0" collapsed="false">
      <c r="B21" s="12" t="s">
        <v>136</v>
      </c>
      <c r="C21" s="42" t="n">
        <v>33</v>
      </c>
      <c r="D21" s="28" t="n">
        <v>1.7064416669473</v>
      </c>
      <c r="E21" s="28" t="n">
        <v>1.68570701352456</v>
      </c>
      <c r="F21" s="28" t="n">
        <v>0.987849187098298</v>
      </c>
      <c r="G21" s="15" t="n">
        <v>0.736842105263158</v>
      </c>
      <c r="H21" s="30" t="s">
        <v>176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8"/>
  </cols>
  <sheetData>
    <row r="2" customFormat="false" ht="30" hidden="false" customHeight="true" outlineLevel="0" collapsed="false">
      <c r="B2" s="8" t="s">
        <v>178</v>
      </c>
      <c r="C2" s="8"/>
      <c r="D2" s="8"/>
      <c r="E2" s="8"/>
      <c r="F2" s="8"/>
      <c r="G2" s="8"/>
      <c r="H2" s="8"/>
    </row>
    <row r="4" customFormat="false" ht="45" hidden="false" customHeight="true" outlineLevel="0" collapsed="false">
      <c r="B4" s="9" t="s">
        <v>179</v>
      </c>
      <c r="C4" s="9"/>
      <c r="D4" s="9"/>
      <c r="E4" s="9"/>
      <c r="F4" s="9"/>
      <c r="G4" s="9"/>
      <c r="H4" s="9"/>
    </row>
    <row r="6" customFormat="false" ht="15" hidden="false" customHeight="false" outlineLevel="0" collapsed="false">
      <c r="B6" s="26" t="s">
        <v>127</v>
      </c>
      <c r="C6" s="26" t="s">
        <v>180</v>
      </c>
      <c r="D6" s="26" t="s">
        <v>181</v>
      </c>
      <c r="E6" s="26" t="s">
        <v>182</v>
      </c>
      <c r="F6" s="26" t="s">
        <v>183</v>
      </c>
      <c r="G6" s="26" t="s">
        <v>184</v>
      </c>
      <c r="H6" s="26" t="s">
        <v>129</v>
      </c>
    </row>
    <row r="7" customFormat="false" ht="15" hidden="false" customHeight="false" outlineLevel="0" collapsed="false">
      <c r="B7" s="12" t="s">
        <v>134</v>
      </c>
      <c r="C7" s="44" t="n">
        <v>6221.517405</v>
      </c>
      <c r="D7" s="18" t="n">
        <v>0.003395588668292</v>
      </c>
      <c r="E7" s="13" t="n">
        <v>4.52972375690608</v>
      </c>
      <c r="F7" s="45" t="n">
        <f aca="false">C7*1000000*D7*E7/1000000</f>
        <v>95.6936485874008</v>
      </c>
      <c r="G7" s="12" t="s">
        <v>185</v>
      </c>
      <c r="H7" s="30" t="s">
        <v>186</v>
      </c>
    </row>
    <row r="8" customFormat="false" ht="15" hidden="false" customHeight="false" outlineLevel="0" collapsed="false">
      <c r="B8" s="12" t="s">
        <v>130</v>
      </c>
      <c r="C8" s="44" t="n">
        <v>13457.924415</v>
      </c>
      <c r="D8" s="18" t="n">
        <v>0.001560416328137</v>
      </c>
      <c r="E8" s="13" t="n">
        <v>3.46719512195122</v>
      </c>
      <c r="F8" s="45" t="n">
        <f aca="false">C8*1000000*D8*E8/1000000</f>
        <v>72.8109762091449</v>
      </c>
      <c r="G8" s="12" t="s">
        <v>185</v>
      </c>
      <c r="H8" s="30" t="s">
        <v>186</v>
      </c>
    </row>
    <row r="9" customFormat="false" ht="15" hidden="false" customHeight="false" outlineLevel="0" collapsed="false">
      <c r="B9" s="12" t="s">
        <v>187</v>
      </c>
      <c r="C9" s="44" t="n">
        <v>4658.147655</v>
      </c>
      <c r="D9" s="18" t="n">
        <v>0.0004033234107517</v>
      </c>
      <c r="E9" s="13" t="n">
        <v>6.22526315789474</v>
      </c>
      <c r="F9" s="45" t="n">
        <f aca="false">C9*1000000*D9*E9/1000000</f>
        <v>11.6956509052609</v>
      </c>
      <c r="G9" s="12" t="s">
        <v>188</v>
      </c>
      <c r="H9" s="30" t="s">
        <v>189</v>
      </c>
    </row>
    <row r="10" customFormat="false" ht="15" hidden="false" customHeight="false" outlineLevel="0" collapsed="false">
      <c r="B10" s="12" t="s">
        <v>132</v>
      </c>
      <c r="C10" s="44" t="n">
        <v>1532.494782</v>
      </c>
      <c r="D10" s="18" t="n">
        <v>0.0021264633578373</v>
      </c>
      <c r="E10" s="13" t="n">
        <v>1.85777777777778</v>
      </c>
      <c r="F10" s="45" t="n">
        <f aca="false">C10*1000000*D10*E10/1000000</f>
        <v>6.0541150755553</v>
      </c>
      <c r="G10" s="12" t="s">
        <v>188</v>
      </c>
      <c r="H10" s="30" t="s">
        <v>189</v>
      </c>
    </row>
    <row r="11" customFormat="false" ht="15" hidden="false" customHeight="false" outlineLevel="0" collapsed="false">
      <c r="B11" s="12" t="s">
        <v>165</v>
      </c>
      <c r="C11" s="44" t="n">
        <v>503.692539</v>
      </c>
      <c r="D11" s="18" t="n">
        <v>0.002080852740207</v>
      </c>
      <c r="E11" s="13" t="n">
        <v>6.22461538461539</v>
      </c>
      <c r="F11" s="45" t="n">
        <f aca="false">C11*1000000*D11*E11/1000000</f>
        <v>6.52408163076905</v>
      </c>
      <c r="G11" s="12" t="s">
        <v>188</v>
      </c>
      <c r="H11" s="30" t="s">
        <v>189</v>
      </c>
    </row>
    <row r="12" customFormat="false" ht="15" hidden="false" customHeight="false" outlineLevel="0" collapsed="false">
      <c r="B12" s="12" t="s">
        <v>136</v>
      </c>
      <c r="C12" s="44" t="n">
        <v>38.293077</v>
      </c>
      <c r="D12" s="18" t="n">
        <v>0.0146431951655386</v>
      </c>
      <c r="E12" s="13" t="n">
        <v>9.66308641975309</v>
      </c>
      <c r="F12" s="45" t="n">
        <f aca="false">C12*1000000*D12*E12/1000000</f>
        <v>5.41841143740738</v>
      </c>
      <c r="G12" s="12" t="s">
        <v>190</v>
      </c>
      <c r="H12" s="30" t="s">
        <v>191</v>
      </c>
    </row>
    <row r="13" customFormat="false" ht="15" hidden="false" customHeight="false" outlineLevel="0" collapsed="false">
      <c r="B13" s="12" t="s">
        <v>135</v>
      </c>
      <c r="C13" s="44" t="n">
        <v>8102.771915</v>
      </c>
      <c r="D13" s="18" t="n">
        <v>0.0002131913644023</v>
      </c>
      <c r="E13" s="13" t="n">
        <v>3.42628205128205</v>
      </c>
      <c r="F13" s="45" t="n">
        <f aca="false">C13*1000000*D13*E13/1000000</f>
        <v>5.91870009294696</v>
      </c>
      <c r="G13" s="12" t="s">
        <v>185</v>
      </c>
      <c r="H13" s="30" t="s">
        <v>186</v>
      </c>
    </row>
    <row r="14" customFormat="false" ht="15" hidden="false" customHeight="false" outlineLevel="0" collapsed="false">
      <c r="B14" s="12" t="s">
        <v>138</v>
      </c>
      <c r="C14" s="44" t="n">
        <v>1096.474498</v>
      </c>
      <c r="D14" s="18" t="n">
        <v>0.0011343765881183</v>
      </c>
      <c r="E14" s="13" t="n">
        <v>4.16666666666667</v>
      </c>
      <c r="F14" s="45" t="n">
        <f aca="false">C14*1000000*D14*E14/1000000</f>
        <v>5.18256249999986</v>
      </c>
      <c r="G14" s="12" t="s">
        <v>188</v>
      </c>
      <c r="H14" s="30" t="s">
        <v>189</v>
      </c>
    </row>
    <row r="15" customFormat="false" ht="15" hidden="false" customHeight="false" outlineLevel="0" collapsed="false">
      <c r="B15" s="12" t="s">
        <v>192</v>
      </c>
      <c r="C15" s="44" t="n">
        <v>5793.091369</v>
      </c>
      <c r="D15" s="18" t="n">
        <v>0.000243748097528</v>
      </c>
      <c r="E15" s="13" t="n">
        <v>3.55333333333333</v>
      </c>
      <c r="F15" s="45" t="n">
        <f aca="false">C15*1000000*D15*E15/1000000</f>
        <v>5.01750209999867</v>
      </c>
      <c r="G15" s="12" t="s">
        <v>185</v>
      </c>
      <c r="H15" s="30" t="s">
        <v>186</v>
      </c>
    </row>
    <row r="16" customFormat="false" ht="15" hidden="false" customHeight="false" outlineLevel="0" collapsed="false">
      <c r="B16" s="12" t="s">
        <v>137</v>
      </c>
      <c r="C16" s="44" t="n">
        <v>11038.276251</v>
      </c>
      <c r="D16" s="18" t="n">
        <v>0.0001232121727227</v>
      </c>
      <c r="E16" s="13" t="n">
        <v>3.07925925925926</v>
      </c>
      <c r="F16" s="45" t="n">
        <f aca="false">C16*1000000*D16*E16/1000000</f>
        <v>4.18794655555275</v>
      </c>
      <c r="G16" s="12" t="s">
        <v>185</v>
      </c>
      <c r="H16" s="30" t="s">
        <v>186</v>
      </c>
    </row>
    <row r="17" customFormat="false" ht="15" hidden="false" customHeight="false" outlineLevel="0" collapsed="false">
      <c r="B17" s="12" t="s">
        <v>193</v>
      </c>
      <c r="C17" s="44" t="n">
        <v>361.10052</v>
      </c>
      <c r="D17" s="18" t="n">
        <v>0.0022486813367092</v>
      </c>
      <c r="E17" s="13" t="n">
        <v>4.0525</v>
      </c>
      <c r="F17" s="45" t="n">
        <f aca="false">C17*1000000*D17*E17/1000000</f>
        <v>3.29062999999995</v>
      </c>
      <c r="G17" s="12" t="s">
        <v>188</v>
      </c>
      <c r="H17" s="30" t="s">
        <v>189</v>
      </c>
    </row>
    <row r="18" customFormat="false" ht="15" hidden="false" customHeight="false" outlineLevel="0" collapsed="false">
      <c r="B18" s="12" t="s">
        <v>174</v>
      </c>
      <c r="C18" s="44" t="n">
        <v>1144.022512</v>
      </c>
      <c r="D18" s="18" t="n">
        <v>0.0004144236630196</v>
      </c>
      <c r="E18" s="13" t="n">
        <v>4.29</v>
      </c>
      <c r="F18" s="45" t="n">
        <f aca="false">C18*1000000*D18*E18/1000000</f>
        <v>2.03393189999968</v>
      </c>
      <c r="G18" s="12" t="s">
        <v>188</v>
      </c>
      <c r="H18" s="30" t="s">
        <v>189</v>
      </c>
    </row>
    <row r="19" customFormat="false" ht="15" hidden="false" customHeight="false" outlineLevel="0" collapsed="false">
      <c r="B19" s="12" t="s">
        <v>194</v>
      </c>
      <c r="C19" s="44" t="n">
        <v>503.28189</v>
      </c>
      <c r="D19" s="18" t="n">
        <v>0.0002406206191921</v>
      </c>
      <c r="E19" s="13" t="n">
        <v>5.39</v>
      </c>
      <c r="F19" s="45" t="n">
        <f aca="false">C19*1000000*D19*E19/1000000</f>
        <v>0.65272899999984</v>
      </c>
      <c r="G19" s="12" t="s">
        <v>188</v>
      </c>
      <c r="H19" s="30" t="s">
        <v>189</v>
      </c>
    </row>
    <row r="20" customFormat="false" ht="15" hidden="false" customHeight="false" outlineLevel="0" collapsed="false">
      <c r="B20" s="12" t="s">
        <v>195</v>
      </c>
      <c r="C20" s="44" t="n">
        <v>2894.887146</v>
      </c>
      <c r="D20" s="18" t="n">
        <v>6.32356256971684E-005</v>
      </c>
      <c r="E20" s="13" t="n">
        <v>4.1625</v>
      </c>
      <c r="F20" s="45" t="n">
        <f aca="false">C20*1000000*D20*E20/1000000</f>
        <v>0.76198725</v>
      </c>
      <c r="G20" s="12" t="s">
        <v>188</v>
      </c>
      <c r="H20" s="30" t="s">
        <v>189</v>
      </c>
    </row>
    <row r="21" customFormat="false" ht="15" hidden="false" customHeight="false" outlineLevel="0" collapsed="false">
      <c r="B21" s="12" t="s">
        <v>171</v>
      </c>
      <c r="C21" s="44" t="n">
        <v>697.164865</v>
      </c>
      <c r="D21" s="18" t="n">
        <v>0.0003052004062195</v>
      </c>
      <c r="E21" s="13" t="n">
        <v>14.6075</v>
      </c>
      <c r="F21" s="45" t="n">
        <f aca="false">C21*1000000*D21*E21/1000000</f>
        <v>3.10811081249946</v>
      </c>
      <c r="G21" s="12" t="s">
        <v>190</v>
      </c>
      <c r="H21" s="30" t="s">
        <v>191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0"/>
  </cols>
  <sheetData>
    <row r="2" customFormat="false" ht="30" hidden="false" customHeight="true" outlineLevel="0" collapsed="false">
      <c r="B2" s="8" t="s">
        <v>196</v>
      </c>
      <c r="C2" s="8"/>
      <c r="D2" s="8"/>
      <c r="E2" s="8"/>
    </row>
    <row r="4" customFormat="false" ht="15" hidden="false" customHeight="false" outlineLevel="0" collapsed="false">
      <c r="B4" s="46" t="s">
        <v>197</v>
      </c>
      <c r="C4" s="46"/>
      <c r="D4" s="46"/>
      <c r="E4" s="46"/>
    </row>
    <row r="5" customFormat="false" ht="15" hidden="false" customHeight="false" outlineLevel="0" collapsed="false">
      <c r="B5" s="47" t="s">
        <v>198</v>
      </c>
      <c r="C5" s="47" t="s">
        <v>199</v>
      </c>
      <c r="D5" s="47" t="s">
        <v>200</v>
      </c>
      <c r="E5" s="47" t="s">
        <v>201</v>
      </c>
    </row>
    <row r="6" customFormat="false" ht="15" hidden="false" customHeight="false" outlineLevel="0" collapsed="false">
      <c r="B6" s="30" t="s">
        <v>202</v>
      </c>
      <c r="C6" s="48" t="n">
        <v>-0.106</v>
      </c>
      <c r="D6" s="17" t="s">
        <v>203</v>
      </c>
      <c r="E6" s="17" t="s">
        <v>204</v>
      </c>
    </row>
    <row r="7" customFormat="false" ht="15" hidden="false" customHeight="false" outlineLevel="0" collapsed="false">
      <c r="B7" s="30" t="s">
        <v>205</v>
      </c>
      <c r="C7" s="49" t="n">
        <v>0.3</v>
      </c>
      <c r="D7" s="17" t="s">
        <v>206</v>
      </c>
      <c r="E7" s="17" t="s">
        <v>207</v>
      </c>
    </row>
    <row r="8" customFormat="false" ht="15" hidden="false" customHeight="false" outlineLevel="0" collapsed="false">
      <c r="B8" s="30" t="s">
        <v>208</v>
      </c>
      <c r="C8" s="49" t="n">
        <v>-0.1</v>
      </c>
      <c r="D8" s="17" t="s">
        <v>206</v>
      </c>
      <c r="E8" s="17" t="s">
        <v>209</v>
      </c>
    </row>
    <row r="9" customFormat="false" ht="15" hidden="false" customHeight="false" outlineLevel="0" collapsed="false">
      <c r="B9" s="30" t="s">
        <v>210</v>
      </c>
      <c r="C9" s="50" t="n">
        <v>0.15</v>
      </c>
      <c r="D9" s="17" t="s">
        <v>206</v>
      </c>
      <c r="E9" s="17" t="s">
        <v>211</v>
      </c>
    </row>
    <row r="10" customFormat="false" ht="15" hidden="false" customHeight="false" outlineLevel="0" collapsed="false">
      <c r="B10" s="30" t="s">
        <v>212</v>
      </c>
      <c r="C10" s="50" t="n">
        <v>0.005</v>
      </c>
      <c r="D10" s="17" t="s">
        <v>206</v>
      </c>
      <c r="E10" s="17" t="s">
        <v>213</v>
      </c>
    </row>
    <row r="11" customFormat="false" ht="15" hidden="false" customHeight="false" outlineLevel="0" collapsed="false">
      <c r="B11" s="30" t="s">
        <v>214</v>
      </c>
      <c r="C11" s="51" t="n">
        <v>2.99</v>
      </c>
      <c r="D11" s="17" t="s">
        <v>215</v>
      </c>
      <c r="E11" s="17" t="s">
        <v>216</v>
      </c>
    </row>
    <row r="12" customFormat="false" ht="15" hidden="false" customHeight="false" outlineLevel="0" collapsed="false">
      <c r="B12" s="30" t="s">
        <v>217</v>
      </c>
      <c r="C12" s="50" t="n">
        <v>0.04</v>
      </c>
      <c r="D12" s="17" t="s">
        <v>206</v>
      </c>
      <c r="E12" s="17" t="s">
        <v>218</v>
      </c>
    </row>
    <row r="13" customFormat="false" ht="15" hidden="false" customHeight="false" outlineLevel="0" collapsed="false">
      <c r="B13" s="30" t="s">
        <v>219</v>
      </c>
      <c r="C13" s="50" t="n">
        <v>0.1</v>
      </c>
      <c r="D13" s="17" t="s">
        <v>206</v>
      </c>
      <c r="E13" s="17" t="s">
        <v>220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8"/>
  </cols>
  <sheetData>
    <row r="2" customFormat="false" ht="30" hidden="false" customHeight="true" outlineLevel="0" collapsed="false">
      <c r="B2" s="8" t="s">
        <v>221</v>
      </c>
      <c r="C2" s="8"/>
      <c r="D2" s="8"/>
      <c r="E2" s="8"/>
      <c r="F2" s="8"/>
      <c r="G2" s="8"/>
    </row>
    <row r="4" customFormat="false" ht="18" hidden="false" customHeight="true" outlineLevel="0" collapsed="false">
      <c r="B4" s="52" t="s">
        <v>222</v>
      </c>
      <c r="C4" s="52"/>
      <c r="D4" s="52"/>
      <c r="E4" s="52"/>
      <c r="F4" s="52"/>
      <c r="G4" s="52"/>
    </row>
    <row r="6" customFormat="false" ht="15" hidden="false" customHeight="false" outlineLevel="0" collapsed="false">
      <c r="B6" s="26" t="s">
        <v>223</v>
      </c>
      <c r="C6" s="26" t="s">
        <v>224</v>
      </c>
      <c r="D6" s="26" t="s">
        <v>225</v>
      </c>
      <c r="E6" s="26" t="s">
        <v>226</v>
      </c>
      <c r="F6" s="26" t="s">
        <v>227</v>
      </c>
    </row>
    <row r="7" customFormat="false" ht="15" hidden="false" customHeight="false" outlineLevel="0" collapsed="false">
      <c r="B7" s="30" t="s">
        <v>228</v>
      </c>
      <c r="C7" s="53" t="n">
        <v>0</v>
      </c>
      <c r="D7" s="53" t="n">
        <v>0.2</v>
      </c>
      <c r="E7" s="54" t="n">
        <f aca="false">Skim_Price_Up</f>
        <v>0.3</v>
      </c>
      <c r="F7" s="53" t="n">
        <v>0.1</v>
      </c>
    </row>
    <row r="8" customFormat="false" ht="15" hidden="false" customHeight="false" outlineLevel="0" collapsed="false">
      <c r="B8" s="30" t="s">
        <v>229</v>
      </c>
      <c r="C8" s="55" t="n">
        <v>0</v>
      </c>
      <c r="D8" s="36" t="n">
        <f aca="false">Elasticity_Overall*0.2</f>
        <v>-0.0212</v>
      </c>
      <c r="E8" s="36" t="n">
        <f aca="false">Elasticity_Overall*Skim_Price_Up</f>
        <v>-0.0318</v>
      </c>
      <c r="F8" s="36" t="n">
        <f aca="false">Elasticity_Overall*0.1</f>
        <v>-0.0106</v>
      </c>
    </row>
    <row r="9" customFormat="false" ht="15" hidden="false" customHeight="false" outlineLevel="0" collapsed="false">
      <c r="B9" s="30" t="s">
        <v>230</v>
      </c>
      <c r="C9" s="56" t="n">
        <v>0</v>
      </c>
      <c r="D9" s="56" t="n">
        <v>0</v>
      </c>
      <c r="E9" s="56" t="n">
        <v>0</v>
      </c>
      <c r="F9" s="57" t="n">
        <f aca="false">Sub_Conversion_Lift</f>
        <v>0.005</v>
      </c>
    </row>
    <row r="10" customFormat="false" ht="15" hidden="false" customHeight="false" outlineLevel="0" collapsed="false">
      <c r="B10" s="30" t="s">
        <v>231</v>
      </c>
      <c r="C10" s="53" t="n">
        <v>0</v>
      </c>
      <c r="D10" s="53" t="n">
        <v>0</v>
      </c>
      <c r="E10" s="54" t="n">
        <f aca="false">CAC_Reduction</f>
        <v>0.1</v>
      </c>
      <c r="F10" s="54" t="n">
        <f aca="false">CAC_Reduction</f>
        <v>0.1</v>
      </c>
    </row>
    <row r="12" customFormat="false" ht="15" hidden="false" customHeight="false" outlineLevel="0" collapsed="false">
      <c r="B12" s="12" t="s">
        <v>232</v>
      </c>
      <c r="C12" s="58" t="n">
        <v>3</v>
      </c>
      <c r="D12" s="17" t="s">
        <v>233</v>
      </c>
    </row>
    <row r="13" customFormat="false" ht="15" hidden="false" customHeight="false" outlineLevel="0" collapsed="false">
      <c r="B13" s="12" t="s">
        <v>234</v>
      </c>
      <c r="C13" s="59" t="n">
        <f aca="false">INDEX(C7:F7, $C$12)</f>
        <v>0.3</v>
      </c>
    </row>
    <row r="14" customFormat="false" ht="15" hidden="false" customHeight="false" outlineLevel="0" collapsed="false">
      <c r="B14" s="12" t="s">
        <v>235</v>
      </c>
      <c r="C14" s="37" t="n">
        <f aca="false">INDEX(C8:F8, $C$12)</f>
        <v>-0.0318</v>
      </c>
    </row>
    <row r="15" customFormat="false" ht="15" hidden="false" customHeight="false" outlineLevel="0" collapsed="false">
      <c r="B15" s="12" t="s">
        <v>236</v>
      </c>
      <c r="C15" s="60" t="n">
        <f aca="false">INDEX(C9:F9, $C$12)</f>
        <v>0</v>
      </c>
    </row>
    <row r="16" customFormat="false" ht="15" hidden="false" customHeight="false" outlineLevel="0" collapsed="false">
      <c r="B16" s="12" t="s">
        <v>237</v>
      </c>
      <c r="C16" s="59" t="n">
        <f aca="false">INDEX(C10:F10, $C$12)</f>
        <v>0.1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22"/>
  </cols>
  <sheetData>
    <row r="2" customFormat="false" ht="30" hidden="false" customHeight="true" outlineLevel="0" collapsed="false">
      <c r="B2" s="8" t="s">
        <v>238</v>
      </c>
      <c r="C2" s="8"/>
      <c r="D2" s="8"/>
      <c r="E2" s="8"/>
      <c r="F2" s="8"/>
    </row>
    <row r="4" customFormat="false" ht="15" hidden="false" customHeight="false" outlineLevel="0" collapsed="false">
      <c r="B4" s="26" t="s">
        <v>239</v>
      </c>
      <c r="C4" s="26" t="s">
        <v>224</v>
      </c>
      <c r="D4" s="26" t="s">
        <v>225</v>
      </c>
      <c r="E4" s="26" t="s">
        <v>226</v>
      </c>
      <c r="F4" s="26" t="s">
        <v>227</v>
      </c>
    </row>
    <row r="5" customFormat="false" ht="15" hidden="false" customHeight="false" outlineLevel="0" collapsed="false">
      <c r="B5" s="30" t="s">
        <v>240</v>
      </c>
      <c r="C5" s="61" t="n">
        <v>204.6221498</v>
      </c>
      <c r="D5" s="61" t="n">
        <v>204.6221498</v>
      </c>
      <c r="E5" s="61" t="n">
        <v>204.6221498</v>
      </c>
      <c r="F5" s="61" t="n">
        <v>204.6221498</v>
      </c>
    </row>
    <row r="6" customFormat="false" ht="15" hidden="false" customHeight="false" outlineLevel="0" collapsed="false">
      <c r="B6" s="30" t="s">
        <v>241</v>
      </c>
      <c r="C6" s="62" t="n">
        <f aca="false">1+Pivot_Scenarios!C7</f>
        <v>1</v>
      </c>
      <c r="D6" s="62" t="n">
        <f aca="false">1+Pivot_Scenarios!D7</f>
        <v>1.2</v>
      </c>
      <c r="E6" s="62" t="n">
        <f aca="false">1+Pivot_Scenarios!E7</f>
        <v>1.3</v>
      </c>
      <c r="F6" s="62" t="n">
        <f aca="false">1+Pivot_Scenarios!F7</f>
        <v>1.1</v>
      </c>
    </row>
    <row r="7" customFormat="false" ht="15" hidden="false" customHeight="false" outlineLevel="0" collapsed="false">
      <c r="B7" s="30" t="s">
        <v>242</v>
      </c>
      <c r="C7" s="62" t="n">
        <f aca="false">1+Pivot_Scenarios!C8</f>
        <v>1</v>
      </c>
      <c r="D7" s="62" t="n">
        <f aca="false">1+Pivot_Scenarios!D8</f>
        <v>0.9788</v>
      </c>
      <c r="E7" s="62" t="n">
        <f aca="false">1+Pivot_Scenarios!E8</f>
        <v>0.9682</v>
      </c>
      <c r="F7" s="62" t="n">
        <f aca="false">1+Pivot_Scenarios!F8</f>
        <v>0.9894</v>
      </c>
    </row>
    <row r="8" customFormat="false" ht="15" hidden="false" customHeight="false" outlineLevel="0" collapsed="false">
      <c r="B8" s="12" t="s">
        <v>243</v>
      </c>
      <c r="C8" s="63" t="n">
        <f aca="false">C5*C6*C7</f>
        <v>204.6221498</v>
      </c>
      <c r="D8" s="63" t="n">
        <f aca="false">D5*D6*D7</f>
        <v>240.340992269088</v>
      </c>
      <c r="E8" s="63" t="n">
        <f aca="false">E5*E6*E7</f>
        <v>257.549715067268</v>
      </c>
      <c r="F8" s="63" t="n">
        <f aca="false">F5*F6*F7</f>
        <v>222.698470513332</v>
      </c>
    </row>
    <row r="9" customFormat="false" ht="15" hidden="false" customHeight="false" outlineLevel="0" collapsed="false">
      <c r="B9" s="30" t="s">
        <v>244</v>
      </c>
      <c r="C9" s="64" t="n">
        <v>0</v>
      </c>
      <c r="D9" s="64" t="n">
        <v>0</v>
      </c>
      <c r="E9" s="64" t="n">
        <v>0</v>
      </c>
      <c r="F9" s="65" t="n">
        <f aca="false">57144680*Sub_Conversion_Lift*Sub_ARPU*12*(1-Sub_Churn*12)/1000000</f>
        <v>5.33091290784</v>
      </c>
    </row>
    <row r="10" customFormat="false" ht="15" hidden="false" customHeight="false" outlineLevel="0" collapsed="false">
      <c r="B10" s="66" t="s">
        <v>245</v>
      </c>
      <c r="C10" s="67" t="n">
        <f aca="false">C8+C9</f>
        <v>204.6221498</v>
      </c>
      <c r="D10" s="67" t="n">
        <f aca="false">D8+D9</f>
        <v>240.340992269088</v>
      </c>
      <c r="E10" s="67" t="n">
        <f aca="false">E8+E9</f>
        <v>257.549715067268</v>
      </c>
      <c r="F10" s="67" t="n">
        <f aca="false">F8+F9</f>
        <v>228.029383421172</v>
      </c>
    </row>
    <row r="11" customFormat="false" ht="15" hidden="false" customHeight="false" outlineLevel="0" collapsed="false">
      <c r="B11" s="12" t="s">
        <v>246</v>
      </c>
      <c r="C11" s="65" t="n">
        <v>0</v>
      </c>
      <c r="D11" s="68" t="n">
        <f aca="false">D10-$C$10</f>
        <v>35.718842469088</v>
      </c>
      <c r="E11" s="68" t="n">
        <f aca="false">E10-$C$10</f>
        <v>52.927565267268</v>
      </c>
      <c r="F11" s="68" t="n">
        <f aca="false">F10-$C$10</f>
        <v>23.407233621172</v>
      </c>
    </row>
    <row r="12" customFormat="false" ht="15" hidden="false" customHeight="false" outlineLevel="0" collapsed="false">
      <c r="B12" s="12" t="s">
        <v>247</v>
      </c>
      <c r="C12" s="69" t="n">
        <v>0</v>
      </c>
      <c r="D12" s="36" t="n">
        <f aca="false">D10/$C$10-1</f>
        <v>0.17456</v>
      </c>
      <c r="E12" s="36" t="n">
        <f aca="false">E10/$C$10-1</f>
        <v>0.25866</v>
      </c>
      <c r="F12" s="36" t="n">
        <f aca="false">F10/$C$10-1</f>
        <v>0.114392472388989</v>
      </c>
    </row>
    <row r="15" customFormat="false" ht="21.75" hidden="false" customHeight="true" outlineLevel="0" collapsed="false">
      <c r="B15" s="3" t="s">
        <v>248</v>
      </c>
      <c r="C15" s="3"/>
      <c r="D15" s="3"/>
      <c r="E15" s="3"/>
      <c r="F15" s="3"/>
    </row>
    <row r="16" customFormat="false" ht="60" hidden="false" customHeight="true" outlineLevel="0" collapsed="false">
      <c r="B16" s="12" t="s">
        <v>249</v>
      </c>
      <c r="C16" s="4" t="s">
        <v>250</v>
      </c>
      <c r="D16" s="4"/>
      <c r="E16" s="4"/>
      <c r="F16" s="4"/>
    </row>
    <row r="17" customFormat="false" ht="60" hidden="false" customHeight="true" outlineLevel="0" collapsed="false">
      <c r="B17" s="12" t="s">
        <v>251</v>
      </c>
      <c r="C17" s="4" t="s">
        <v>252</v>
      </c>
      <c r="D17" s="4"/>
      <c r="E17" s="4"/>
      <c r="F17" s="4"/>
    </row>
    <row r="18" customFormat="false" ht="60" hidden="false" customHeight="true" outlineLevel="0" collapsed="false">
      <c r="B18" s="12" t="s">
        <v>253</v>
      </c>
      <c r="C18" s="4" t="s">
        <v>254</v>
      </c>
      <c r="D18" s="4"/>
      <c r="E18" s="4"/>
      <c r="F18" s="4"/>
    </row>
    <row r="19" customFormat="false" ht="60" hidden="false" customHeight="true" outlineLevel="0" collapsed="false">
      <c r="B19" s="12" t="s">
        <v>255</v>
      </c>
      <c r="C19" s="4" t="s">
        <v>256</v>
      </c>
      <c r="D19" s="4"/>
      <c r="E19" s="4"/>
      <c r="F19" s="4"/>
    </row>
    <row r="20" customFormat="false" ht="60" hidden="false" customHeight="true" outlineLevel="0" collapsed="false">
      <c r="B20" s="12" t="s">
        <v>257</v>
      </c>
      <c r="C20" s="4" t="s">
        <v>258</v>
      </c>
      <c r="D20" s="4"/>
      <c r="E20" s="4"/>
      <c r="F20" s="4"/>
    </row>
  </sheetData>
  <mergeCells count="7">
    <mergeCell ref="B2:F2"/>
    <mergeCell ref="B15:F15"/>
    <mergeCell ref="C16:F16"/>
    <mergeCell ref="C17:F17"/>
    <mergeCell ref="C18:F18"/>
    <mergeCell ref="C19:F19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2026-05-07T07:36:55Z</dcterms:created>
  <dc:creator>openpyxl</dc:creator>
  <dc:description/>
  <dc:language>en-US</dc:language>
  <cp:lastModifiedBy/>
  <dcterms:modified xsi:type="dcterms:W3CDTF">2026-05-07T07:36:56Z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