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tate_KPIs" sheetId="2" state="visible" r:id="rId4"/>
    <sheet name="Seller_Tiers" sheetId="3" state="visible" r:id="rId5"/>
    <sheet name="Margin_Loss" sheetId="4" state="visible" r:id="rId6"/>
    <sheet name="Inputs" sheetId="5" state="visible" r:id="rId7"/>
    <sheet name="Scenarios" sheetId="6" state="visible" r:id="rId8"/>
    <sheet name="Forecast" sheetId="7" state="visible" r:id="rId9"/>
    <sheet name="Summary" sheetId="8" state="visible" r:id="rId10"/>
  </sheets>
  <definedNames>
    <definedName function="false" hidden="false" name="Active_Buffer_Multiplier" vbProcedure="false">Scenarios!$C$14</definedName>
    <definedName function="false" hidden="false" name="Active_Intervention_Cost" vbProcedure="false">Scenarios!$C$15</definedName>
    <definedName function="false" hidden="false" name="Active_Late_Reduction" vbProcedure="false">Scenarios!$C$13</definedName>
    <definedName function="false" hidden="false" name="Avg_Order_Value" vbProcedure="false">Inputs!$C$6</definedName>
    <definedName function="false" hidden="false" name="Buffer_Multiplier" vbProcedure="false">Inputs!$C$10</definedName>
    <definedName function="false" hidden="false" name="Capacity_Cost" vbProcedure="false">Inputs!$C$13</definedName>
    <definedName function="false" hidden="false" name="Current_Promise_Days" vbProcedure="false">Inputs!$C$9</definedName>
    <definedName function="false" hidden="false" name="Return_Conversion" vbProcedure="false">Inputs!$C$8</definedName>
    <definedName function="false" hidden="false" name="Seller_Intervention_Cost" vbProcedure="false">Inputs!$C$11</definedName>
    <definedName function="false" hidden="false" name="Seller_Intervention_Reduction" vbProcedure="false">Inputs!$C$12</definedName>
    <definedName function="false" hidden="false" name="Shipping_Penalty" vbProcedure="false">Inputs!$C$7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<sst xmlns="http://schemas.openxmlformats.org/spreadsheetml/2006/main" count="260" uniqueCount="244">
  <si>
    <t xml:space="preserve">Zero-Defect Initiative</t>
  </si>
  <si>
    <t xml:space="preserve">Eliminating Variance in Marketplace Fulfillment | Olist anchor</t>
  </si>
  <si>
    <t xml:space="preserve">Engagement Brief</t>
  </si>
  <si>
    <t xml:space="preserve">Olist marketplace operations is seeing process noise: lead times are inconsistent, customer reviews collapse when orders are late, and the operations team is unsure where the variance is coming from. This audit identifies the statistically out-of-control points, traces them via 5-Whys + Fishbone, and quantifies the margin-preservation case for intervention.</t>
  </si>
  <si>
    <t xml:space="preserve">Anchor</t>
  </si>
  <si>
    <t xml:space="preserve">Dataset</t>
  </si>
  <si>
    <t xml:space="preserve">Olist Brazilian E-Commerce (Kaggle)</t>
  </si>
  <si>
    <t xml:space="preserve">Population</t>
  </si>
  <si>
    <t xml:space="preserve">95,082 delivered orders (2017-01 to 2018-08)</t>
  </si>
  <si>
    <t xml:space="preserve">Sellers</t>
  </si>
  <si>
    <t xml:space="preserve">3,095 (1,212 with 10+ orders; 202 with 100+)</t>
  </si>
  <si>
    <t xml:space="preserve">Customer states</t>
  </si>
  <si>
    <t xml:space="preserve">27 (regional variance is the dominant signal)</t>
  </si>
  <si>
    <t xml:space="preserve">Mean lead time</t>
  </si>
  <si>
    <t xml:space="preserve">12.6 days (median 10.3, std 9.6, skew +3.83)</t>
  </si>
  <si>
    <t xml:space="preserve">On-time delivery</t>
  </si>
  <si>
    <t xml:space="preserve">91.8%</t>
  </si>
  <si>
    <t xml:space="preserve">Late by 8+ days</t>
  </si>
  <si>
    <t xml:space="preserve">3.5% (3,336 orders) — these collapse to 1.7-star reviews</t>
  </si>
  <si>
    <t xml:space="preserve">Methodology</t>
  </si>
  <si>
    <t xml:space="preserve">SQL schema</t>
  </si>
  <si>
    <t xml:space="preserve">8 base tables + 6 analytical views in SQLite (3NF normalized)</t>
  </si>
  <si>
    <t xml:space="preserve">SPC method</t>
  </si>
  <si>
    <t xml:space="preserve">Log-transformed I-MR (raw fails due to skew=3.83); daily p-chart on % late</t>
  </si>
  <si>
    <t xml:space="preserve">Hypothesis test</t>
  </si>
  <si>
    <t xml:space="preserve">Kruskal-Wallis non-parametric ANOVA across states (p &lt; 1e-30)</t>
  </si>
  <si>
    <t xml:space="preserve">Forecasting</t>
  </si>
  <si>
    <t xml:space="preserve">SARIMA(1,1,1)x(1,1,1,7) with weekly seasonality + Black Friday exog</t>
  </si>
  <si>
    <t xml:space="preserve">Forecast accuracy</t>
  </si>
  <si>
    <t xml:space="preserve">MAPE = 18.1% out-of-sample (30-day holdout)</t>
  </si>
  <si>
    <t xml:space="preserve">Margin model</t>
  </si>
  <si>
    <t xml:space="preserve">Late delivery → review collapse → return rate → refund + shipping penalty</t>
  </si>
  <si>
    <t xml:space="preserve">How to use this workbook</t>
  </si>
  <si>
    <t xml:space="preserve">1. Inputs</t>
  </si>
  <si>
    <t xml:space="preserve">Edit BLUE cells for cost parameters and SLA assumptions</t>
  </si>
  <si>
    <t xml:space="preserve">2. Scenarios</t>
  </si>
  <si>
    <t xml:space="preserve">Toggle Active Scenario (1-4); Margin_Loss recomputes</t>
  </si>
  <si>
    <t xml:space="preserve">3. Seller_Tiers</t>
  </si>
  <si>
    <t xml:space="preserve">Worst-tier sellers are the intervention candidates</t>
  </si>
  <si>
    <t xml:space="preserve">4. State_KPIs</t>
  </si>
  <si>
    <t xml:space="preserve">Proposed differentiated SLAs by region</t>
  </si>
  <si>
    <t xml:space="preserve">5. Forecast</t>
  </si>
  <si>
    <t xml:space="preserve">60-day SARIMA forecast for capacity planning</t>
  </si>
  <si>
    <t xml:space="preserve">6. Summary</t>
  </si>
  <si>
    <t xml:space="preserve">Executive comparison and recommendation</t>
  </si>
  <si>
    <t xml:space="preserve">State-Level KPIs and Proposed SLA Reset</t>
  </si>
  <si>
    <t xml:space="preserve">Current SLA is a uniform ~24-day promise across all states (the dataset's mean estimate buffer). Proposed SLA = mean lead time + 1×std × buffer multiplier (yellow). Restating the promise reduces 'late' rate without operational change.</t>
  </si>
  <si>
    <t xml:space="preserve">State</t>
  </si>
  <si>
    <t xml:space="preserve">n Orders</t>
  </si>
  <si>
    <t xml:space="preserve">Mean Lead</t>
  </si>
  <si>
    <t xml:space="preserve">Std Lead</t>
  </si>
  <si>
    <t xml:space="preserve">P95</t>
  </si>
  <si>
    <t xml:space="preserve">Curr % Late</t>
  </si>
  <si>
    <t xml:space="preserve">Proposed SLA</t>
  </si>
  <si>
    <t xml:space="preserve">Δ vs Curr</t>
  </si>
  <si>
    <t xml:space="preserve">RR</t>
  </si>
  <si>
    <t xml:space="preserve">AP</t>
  </si>
  <si>
    <t xml:space="preserve">AM</t>
  </si>
  <si>
    <t xml:space="preserve">AL</t>
  </si>
  <si>
    <t xml:space="preserve">PA</t>
  </si>
  <si>
    <t xml:space="preserve">MA</t>
  </si>
  <si>
    <t xml:space="preserve">SE</t>
  </si>
  <si>
    <t xml:space="preserve">CE</t>
  </si>
  <si>
    <t xml:space="preserve">AC</t>
  </si>
  <si>
    <t xml:space="preserve">PB</t>
  </si>
  <si>
    <t xml:space="preserve">PI</t>
  </si>
  <si>
    <t xml:space="preserve">RO</t>
  </si>
  <si>
    <t xml:space="preserve">BA</t>
  </si>
  <si>
    <t xml:space="preserve">RN</t>
  </si>
  <si>
    <t xml:space="preserve">PE</t>
  </si>
  <si>
    <t xml:space="preserve">MT</t>
  </si>
  <si>
    <t xml:space="preserve">TO</t>
  </si>
  <si>
    <t xml:space="preserve">ES</t>
  </si>
  <si>
    <t xml:space="preserve">GO</t>
  </si>
  <si>
    <t xml:space="preserve">MS</t>
  </si>
  <si>
    <t xml:space="preserve">RS</t>
  </si>
  <si>
    <t xml:space="preserve">RJ</t>
  </si>
  <si>
    <t xml:space="preserve">SC</t>
  </si>
  <si>
    <t xml:space="preserve">DF</t>
  </si>
  <si>
    <t xml:space="preserve">MG</t>
  </si>
  <si>
    <t xml:space="preserve">PR</t>
  </si>
  <si>
    <t xml:space="preserve">SP</t>
  </si>
  <si>
    <t xml:space="preserve">Seller Tiers &amp; Intervention Candidates</t>
  </si>
  <si>
    <t xml:space="preserve">Sellers tiered by % late among those with 100+ orders (n=202). Bottom decile (BOTTOM-10) is the highest-leverage intervention target — these sellers account for disproportionate late deliveries.</t>
  </si>
  <si>
    <t xml:space="preserve">Tier (decile)</t>
  </si>
  <si>
    <t xml:space="preserve"># Sellers</t>
  </si>
  <si>
    <t xml:space="preserve">Total Orders</t>
  </si>
  <si>
    <t xml:space="preserve">Mean % Late</t>
  </si>
  <si>
    <t xml:space="preserve">Mean Lead (days)</t>
  </si>
  <si>
    <t xml:space="preserve">Tier Label</t>
  </si>
  <si>
    <t xml:space="preserve">D1 (best)</t>
  </si>
  <si>
    <t xml:space="preserve">Top performers</t>
  </si>
  <si>
    <t xml:space="preserve">D2 (best)</t>
  </si>
  <si>
    <t xml:space="preserve">D3 (mid)</t>
  </si>
  <si>
    <t xml:space="preserve">Mid-tier</t>
  </si>
  <si>
    <t xml:space="preserve">D4 (mid)</t>
  </si>
  <si>
    <t xml:space="preserve">D5 (mid)</t>
  </si>
  <si>
    <t xml:space="preserve">D6 (mid)</t>
  </si>
  <si>
    <t xml:space="preserve">D7 (mid)</t>
  </si>
  <si>
    <t xml:space="preserve">D8 (mid)</t>
  </si>
  <si>
    <t xml:space="preserve">D9 (worst)</t>
  </si>
  <si>
    <t xml:space="preserve">INTERVENTION TARGET</t>
  </si>
  <si>
    <t xml:space="preserve">D10 (worst)</t>
  </si>
  <si>
    <t xml:space="preserve">Margin Loss Bridge - Late Delivery → Review → Return</t>
  </si>
  <si>
    <t xml:space="preserve">Bridge: lateness → review collapse → return request → refund + shipping penalty. Numbers below pull from review_score data joined to delay bands.</t>
  </si>
  <si>
    <t xml:space="preserve">Delay Band</t>
  </si>
  <si>
    <t xml:space="preserve">Orders</t>
  </si>
  <si>
    <t xml:space="preserve">Mean Score</t>
  </si>
  <si>
    <t xml:space="preserve">% Negative Reviews</t>
  </si>
  <si>
    <t xml:space="preserve">Est Return Rate</t>
  </si>
  <si>
    <t xml:space="preserve">Loss/Return</t>
  </si>
  <si>
    <t xml:space="preserve">Total Loss ($)</t>
  </si>
  <si>
    <t xml:space="preserve">1. On-time</t>
  </si>
  <si>
    <t xml:space="preserve">2. Late 1-3 days</t>
  </si>
  <si>
    <t xml:space="preserve">3. Late 4-7 days</t>
  </si>
  <si>
    <t xml:space="preserve">4. Late 8+ days</t>
  </si>
  <si>
    <t xml:space="preserve">TOTAL</t>
  </si>
  <si>
    <t xml:space="preserve">LATE-ONLY LOSS (preventable)</t>
  </si>
  <si>
    <t xml:space="preserve">Inputs - Cost &amp; SLA Assumptions</t>
  </si>
  <si>
    <t xml:space="preserve">1. Margin Loss Parameters</t>
  </si>
  <si>
    <t xml:space="preserve">Parameter</t>
  </si>
  <si>
    <t xml:space="preserve">Value</t>
  </si>
  <si>
    <t xml:space="preserve">Unit</t>
  </si>
  <si>
    <t xml:space="preserve">Note</t>
  </si>
  <si>
    <t xml:space="preserve">Avg order value (BRL)</t>
  </si>
  <si>
    <t xml:space="preserve">BRL</t>
  </si>
  <si>
    <t xml:space="preserve">Median order value across categories</t>
  </si>
  <si>
    <t xml:space="preserve">Shipping penalty per return</t>
  </si>
  <si>
    <t xml:space="preserve">Carrier penalty + processing per refund</t>
  </si>
  <si>
    <t xml:space="preserve">Return conversion rate</t>
  </si>
  <si>
    <t xml:space="preserve">%</t>
  </si>
  <si>
    <t xml:space="preserve">Fraction of negative reviewers who request return</t>
  </si>
  <si>
    <t xml:space="preserve">Current uniform promise</t>
  </si>
  <si>
    <t xml:space="preserve">days</t>
  </si>
  <si>
    <t xml:space="preserve">Olist's current SLA for all states</t>
  </si>
  <si>
    <t xml:space="preserve">Buffer multiplier</t>
  </si>
  <si>
    <t xml:space="preserve">×</t>
  </si>
  <si>
    <t xml:space="preserve">Proposed SLA = mean lead × this</t>
  </si>
  <si>
    <t xml:space="preserve">Seller intervention cost</t>
  </si>
  <si>
    <t xml:space="preserve">One-time cost per intervention seller</t>
  </si>
  <si>
    <t xml:space="preserve">Seller intervention reduction</t>
  </si>
  <si>
    <t xml:space="preserve">% reduction in late rate for intervened sellers</t>
  </si>
  <si>
    <t xml:space="preserve">Capacity cost / order</t>
  </si>
  <si>
    <t xml:space="preserve">Marginal capacity cost per daily order</t>
  </si>
  <si>
    <t xml:space="preserve">Intervention Scenarios</t>
  </si>
  <si>
    <t xml:space="preserve">Four scenarios. Toggle Active Scenario (cell C12) to flip the model. SLA Reset is purely a promise-side change; Seller Intervention is a $-cost operations program.</t>
  </si>
  <si>
    <t xml:space="preserve">Lever</t>
  </si>
  <si>
    <t xml:space="preserve">Status Quo</t>
  </si>
  <si>
    <t xml:space="preserve">Seller Intervention</t>
  </si>
  <si>
    <t xml:space="preserve">SLA Reset</t>
  </si>
  <si>
    <t xml:space="preserve">Combined</t>
  </si>
  <si>
    <t xml:space="preserve">Late rate reduction</t>
  </si>
  <si>
    <t xml:space="preserve">Promise buffer multiplier</t>
  </si>
  <si>
    <t xml:space="preserve">Intervention cost (one-time)</t>
  </si>
  <si>
    <t xml:space="preserve">(20 = bottom-decile sellers)</t>
  </si>
  <si>
    <t xml:space="preserve">ACTIVE SCENARIO:</t>
  </si>
  <si>
    <t xml:space="preserve">(1=Status Quo, 2=Seller, 3=SLA, 4=Combined)</t>
  </si>
  <si>
    <t xml:space="preserve">Active late-rate reduction</t>
  </si>
  <si>
    <t xml:space="preserve">Active buffer multiplier</t>
  </si>
  <si>
    <t xml:space="preserve">Active intervention cost</t>
  </si>
  <si>
    <t xml:space="preserve">60-Day Capacity Forecast (SARIMA)</t>
  </si>
  <si>
    <t xml:space="preserve">SARIMA(1,1,1)x(1,1,1,7) forecast generated by Python notebook (MAPE 18.1%). Read-only here. Capacity required = forecast × Capacity_Cost.</t>
  </si>
  <si>
    <t xml:space="preserve">Date</t>
  </si>
  <si>
    <t xml:space="preserve">Forecast</t>
  </si>
  <si>
    <t xml:space="preserve">CI Lower</t>
  </si>
  <si>
    <t xml:space="preserve">CI Upper</t>
  </si>
  <si>
    <t xml:space="preserve">Capacity Cost</t>
  </si>
  <si>
    <t xml:space="preserve">2018-08-23</t>
  </si>
  <si>
    <t xml:space="preserve">2018-08-24</t>
  </si>
  <si>
    <t xml:space="preserve">2018-08-25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</si>
  <si>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</si>
  <si>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</si>
  <si>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</si>
  <si>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</si>
  <si>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</si>
  <si>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</si>
  <si>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</si>
  <si>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</si>
  <si>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</si>
  <si>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</si>
  <si>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</si>
  <si>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</si>
  <si>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</si>
  <si>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</si>
  <si>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</si>
  <si>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</si>
  <si>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</si>
  <si>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</si>
  <si>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</si>
  <si>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</si>
  <si>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</si>
  <si>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</si>
  <si>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</si>
  <si>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</si>
  <si>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</si>
  <si>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</si>
  <si>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</si>
  <si>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</si>
  <si>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</si>
  <si>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</si>
  <si>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</si>
  <si>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</si>
  <si>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</si>
  <si>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</si>
  <si>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</si>
  <si>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</si>
  <si>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</si>
  <si>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</si>
  <si>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</si>
  <si>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</si>
  <si>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</si>
  <si>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</si>
  <si>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</si>
  <si>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</si>
  <si>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</si>
  <si>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</si>
  <si>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</si>
  <si>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</si>
  <si>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</si>
  <si>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</si>
  <si>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</si>
  <si>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</si>
  <si>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</si>
  <si>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</si>
  <si>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</si>
  <si>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</si>
  <si>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</si>
  <si>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60-day TOTAL</t>
  </si>
  <si>
    <t xml:space="preserve">Executive Summary - Zero-Defect Initiative</t>
  </si>
  <si>
    <t xml:space="preserve">Metric</t>
  </si>
  <si>
    <t xml:space="preserve">Late-only margin loss</t>
  </si>
  <si>
    <t xml:space="preserve">TOTAL COST</t>
  </si>
  <si>
    <t xml:space="preserve">Δ vs Status Quo (savings)</t>
  </si>
  <si>
    <t xml:space="preserve">Recommendations</t>
  </si>
  <si>
    <t xml:space="preserve">Hero finding</t>
  </si>
  <si>
    <t xml:space="preserve">The audit's most important analytical finding: standard SPC charts FAIL on this data because skewness = 3.83. Lead-time distribution is severely right-skewed; Shewhart I-MR yields negative LCL (meaningless) and over-loose UCL. The corrected method is log-transformed I-MR + daily p-chart on % late.</t>
  </si>
  <si>
    <t xml:space="preserve">Geographic SLA reset</t>
  </si>
  <si>
    <t xml:space="preserve">São Paulo averages 8.8d lead time; Roraima averages 29.9d. The current uniform 24-day promise systematically over-promises for Northern states (driving the 3.5% late-by-8+d band) and over-buffers for São Paulo (wasted goodwill). Differentiate by region.</t>
  </si>
  <si>
    <t xml:space="preserve">Seller-tier intervention</t>
  </si>
  <si>
    <t xml:space="preserve">Bottom decile of high-volume sellers (~20 sellers) have 5× the late rate of top decile. Mandatory dispatch SLAs and a one-time intervention program (R$500/seller) targets the highest-leverage operations population.</t>
  </si>
  <si>
    <t xml:space="preserve">Margin Preservation mechanism</t>
  </si>
  <si>
    <t xml:space="preserve">On-time → 4.29 review; Late 8+d → 1.73 review. 76% of severely-late orders get 1-2 stars. Negative reviews drive returns; lateness is the #1 margin leak. Combined intervention reduces late-only loss by ~90% in this model.</t>
  </si>
  <si>
    <t xml:space="preserve">Capacity planning</t>
  </si>
  <si>
    <t xml:space="preserve">SARIMA(1,1,1)×(1,1,1,7) forecast (MAPE 18%) supports rolling 60-day capacity decisions. Black Friday week handled as exogenous regressor. Refit quarterly as new data arrives.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</si>
</sst>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"/>
    <numFmt numFmtId="167" formatCode="0.0%"/>
    <numFmt numFmtId="168" formatCode="\+0.0;\-0.0;0"/>
    <numFmt numFmtId="169" formatCode="0"/>
    <numFmt numFmtId="170" formatCode="0.00"/>
    <numFmt numFmtId="171" formatCode="\$#,##0"/>
    <numFmt numFmtId="172" formatCode="&quot;R$ &quot;#,##0"/>
    <numFmt numFmtId="173" formatCode="0.00%"/>
    <numFmt numFmtId="174" formatCode="&quot;R$ &quot;#,##0;[RED]&quot;(R$ &quot;#,##0\);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E07A1F"/>
        <bgColor rgb="FFFF9900"/>
      </patternFill>
    </fill>
    <fill>
      <patternFill patternType="solid">
        <fgColor rgb="FF2E7D7D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75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5" customFormat="false" ht="15" hidden="false" customHeight="false" outlineLevel="0" collapsed="false">
      <c r="B15" s="5" t="s">
        <v>13</v>
      </c>
      <c r="C15" s="6" t="s">
        <v>14</v>
      </c>
    </row>
    <row r="16" customFormat="false" ht="15" hidden="false" customHeight="false" outlineLevel="0" collapsed="false">
      <c r="B16" s="5" t="s">
        <v>15</v>
      </c>
      <c r="C16" s="6" t="s">
        <v>16</v>
      </c>
    </row>
    <row r="17" customFormat="false" ht="15" hidden="false" customHeight="false" outlineLevel="0" collapsed="false">
      <c r="B17" s="5" t="s">
        <v>17</v>
      </c>
      <c r="C17" s="6" t="s">
        <v>18</v>
      </c>
    </row>
    <row r="19" customFormat="false" ht="17.35" hidden="false" customHeight="false" outlineLevel="0" collapsed="false">
      <c r="B19" s="3" t="s">
        <v>19</v>
      </c>
      <c r="C19" s="3"/>
    </row>
    <row r="20" customFormat="false" ht="15" hidden="false" customHeight="false" outlineLevel="0" collapsed="false">
      <c r="B20" s="5" t="s">
        <v>20</v>
      </c>
      <c r="C20" s="6" t="s">
        <v>21</v>
      </c>
    </row>
    <row r="21" customFormat="false" ht="15" hidden="false" customHeight="false" outlineLevel="0" collapsed="false">
      <c r="B21" s="5" t="s">
        <v>22</v>
      </c>
      <c r="C21" s="6" t="s">
        <v>23</v>
      </c>
    </row>
    <row r="22" customFormat="false" ht="15" hidden="false" customHeight="false" outlineLevel="0" collapsed="false">
      <c r="B22" s="5" t="s">
        <v>24</v>
      </c>
      <c r="C22" s="6" t="s">
        <v>25</v>
      </c>
    </row>
    <row r="23" customFormat="false" ht="15" hidden="false" customHeight="false" outlineLevel="0" collapsed="false">
      <c r="B23" s="5" t="s">
        <v>26</v>
      </c>
      <c r="C23" s="6" t="s">
        <v>27</v>
      </c>
    </row>
    <row r="24" customFormat="false" ht="15" hidden="false" customHeight="false" outlineLevel="0" collapsed="false">
      <c r="B24" s="5" t="s">
        <v>28</v>
      </c>
      <c r="C24" s="6" t="s">
        <v>29</v>
      </c>
    </row>
    <row r="25" customFormat="false" ht="15" hidden="false" customHeight="false" outlineLevel="0" collapsed="false">
      <c r="B25" s="5" t="s">
        <v>30</v>
      </c>
      <c r="C25" s="6" t="s">
        <v>31</v>
      </c>
    </row>
    <row r="27" customFormat="false" ht="17.35" hidden="false" customHeight="false" outlineLevel="0" collapsed="false">
      <c r="B27" s="3" t="s">
        <v>32</v>
      </c>
      <c r="C27" s="3"/>
    </row>
    <row r="28" customFormat="false" ht="15" hidden="false" customHeight="false" outlineLevel="0" collapsed="false">
      <c r="B28" s="5" t="s">
        <v>33</v>
      </c>
      <c r="C28" s="6" t="s">
        <v>34</v>
      </c>
    </row>
    <row r="29" customFormat="false" ht="15" hidden="false" customHeight="false" outlineLevel="0" collapsed="false">
      <c r="B29" s="5" t="s">
        <v>35</v>
      </c>
      <c r="C29" s="6" t="s">
        <v>36</v>
      </c>
    </row>
    <row r="30" customFormat="false" ht="15" hidden="false" customHeight="false" outlineLevel="0" collapsed="false">
      <c r="B30" s="5" t="s">
        <v>37</v>
      </c>
      <c r="C30" s="6" t="s">
        <v>38</v>
      </c>
    </row>
    <row r="31" customFormat="false" ht="15" hidden="false" customHeight="false" outlineLevel="0" collapsed="false">
      <c r="B31" s="5" t="s">
        <v>39</v>
      </c>
      <c r="C31" s="6" t="s">
        <v>40</v>
      </c>
    </row>
    <row r="32" customFormat="false" ht="15" hidden="false" customHeight="false" outlineLevel="0" collapsed="false">
      <c r="B32" s="5" t="s">
        <v>41</v>
      </c>
      <c r="C32" s="6" t="s">
        <v>42</v>
      </c>
    </row>
    <row r="33" customFormat="false" ht="15" hidden="false" customHeight="false" outlineLevel="0" collapsed="false">
      <c r="B33" s="5" t="s">
        <v>43</v>
      </c>
      <c r="C33" s="6" t="s">
        <v>44</v>
      </c>
    </row>
  </sheetData>
  <mergeCells count="7">
    <mergeCell ref="B2:C4"/>
    <mergeCell ref="B5:C5"/>
    <mergeCell ref="B7:C7"/>
    <mergeCell ref="B8:C8"/>
    <mergeCell ref="B10:C10"/>
    <mergeCell ref="B19:C19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8" min="3" style="0" width="16"/>
  </cols>
  <sheetData>
    <row r="2" customFormat="false" ht="30" hidden="false" customHeight="true" outlineLevel="0" collapsed="false">
      <c r="B2" s="7" t="s">
        <v>45</v>
      </c>
      <c r="C2" s="7"/>
      <c r="D2" s="7"/>
      <c r="E2" s="7"/>
      <c r="F2" s="7"/>
      <c r="G2" s="7"/>
      <c r="H2" s="7"/>
    </row>
    <row r="4" customFormat="false" ht="30" hidden="false" customHeight="true" outlineLevel="0" collapsed="false">
      <c r="B4" s="8" t="s">
        <v>46</v>
      </c>
      <c r="C4" s="8"/>
      <c r="D4" s="8"/>
      <c r="E4" s="8"/>
      <c r="F4" s="8"/>
      <c r="G4" s="8"/>
      <c r="H4" s="8"/>
    </row>
    <row r="6" customFormat="false" ht="15" hidden="false" customHeight="false" outlineLevel="0" collapsed="false">
      <c r="B6" s="9" t="s">
        <v>47</v>
      </c>
      <c r="C6" s="9" t="s">
        <v>48</v>
      </c>
      <c r="D6" s="9" t="s">
        <v>49</v>
      </c>
      <c r="E6" s="9" t="s">
        <v>50</v>
      </c>
      <c r="F6" s="9" t="s">
        <v>51</v>
      </c>
      <c r="G6" s="9" t="s">
        <v>52</v>
      </c>
      <c r="H6" s="9" t="s">
        <v>53</v>
      </c>
      <c r="I6" s="9" t="s">
        <v>54</v>
      </c>
    </row>
    <row r="7" customFormat="false" ht="15" hidden="false" customHeight="false" outlineLevel="0" collapsed="false">
      <c r="B7" s="10" t="s">
        <v>55</v>
      </c>
      <c r="C7" s="11" t="n">
        <v>40</v>
      </c>
      <c r="D7" s="12" t="n">
        <v>29.8489458911819</v>
      </c>
      <c r="E7" s="13"/>
      <c r="F7" s="13"/>
      <c r="G7" s="14" t="n">
        <v>0.125</v>
      </c>
      <c r="H7" s="15" t="n">
        <f aca="false">D7*Buffer_Multiplier</f>
        <v>47.7583134258911</v>
      </c>
      <c r="I7" s="16" t="n">
        <f aca="false">H7-Current_Promise_Days</f>
        <v>23.7583134258911</v>
      </c>
    </row>
    <row r="8" customFormat="false" ht="15" hidden="false" customHeight="false" outlineLevel="0" collapsed="false">
      <c r="B8" s="10" t="s">
        <v>56</v>
      </c>
      <c r="C8" s="11" t="n">
        <v>67</v>
      </c>
      <c r="D8" s="12" t="n">
        <v>27.1850677170068</v>
      </c>
      <c r="E8" s="13"/>
      <c r="F8" s="13"/>
      <c r="G8" s="14" t="n">
        <v>0.044776119402985</v>
      </c>
      <c r="H8" s="15" t="n">
        <f aca="false">D8*Buffer_Multiplier</f>
        <v>43.4961083472109</v>
      </c>
      <c r="I8" s="16" t="n">
        <f aca="false">H8-Current_Promise_Days</f>
        <v>19.4961083472109</v>
      </c>
    </row>
    <row r="9" customFormat="false" ht="15" hidden="false" customHeight="false" outlineLevel="0" collapsed="false">
      <c r="B9" s="10" t="s">
        <v>57</v>
      </c>
      <c r="C9" s="11" t="n">
        <v>144</v>
      </c>
      <c r="D9" s="12" t="n">
        <v>26.4254800829771</v>
      </c>
      <c r="E9" s="13"/>
      <c r="F9" s="13"/>
      <c r="G9" s="14" t="n">
        <v>0.0416666666666666</v>
      </c>
      <c r="H9" s="15" t="n">
        <f aca="false">D9*Buffer_Multiplier</f>
        <v>42.2807681327634</v>
      </c>
      <c r="I9" s="16" t="n">
        <f aca="false">H9-Current_Promise_Days</f>
        <v>18.2807681327634</v>
      </c>
    </row>
    <row r="10" customFormat="false" ht="15" hidden="false" customHeight="false" outlineLevel="0" collapsed="false">
      <c r="B10" s="10" t="s">
        <v>58</v>
      </c>
      <c r="C10" s="11" t="n">
        <v>393</v>
      </c>
      <c r="D10" s="12" t="n">
        <v>24.3780929577862</v>
      </c>
      <c r="E10" s="13"/>
      <c r="F10" s="13"/>
      <c r="G10" s="14" t="n">
        <v>0.236641221374046</v>
      </c>
      <c r="H10" s="15" t="n">
        <f aca="false">D10*Buffer_Multiplier</f>
        <v>39.0049487324579</v>
      </c>
      <c r="I10" s="16" t="n">
        <f aca="false">H10-Current_Promise_Days</f>
        <v>15.0049487324578</v>
      </c>
    </row>
    <row r="11" customFormat="false" ht="15" hidden="false" customHeight="false" outlineLevel="0" collapsed="false">
      <c r="B11" s="10" t="s">
        <v>59</v>
      </c>
      <c r="C11" s="11" t="n">
        <v>936</v>
      </c>
      <c r="D11" s="12" t="n">
        <v>23.8058083303717</v>
      </c>
      <c r="E11" s="13"/>
      <c r="F11" s="13"/>
      <c r="G11" s="14" t="n">
        <v>0.122863247863248</v>
      </c>
      <c r="H11" s="15" t="n">
        <f aca="false">D11*Buffer_Multiplier</f>
        <v>38.0892933285946</v>
      </c>
      <c r="I11" s="16" t="n">
        <f aca="false">H11-Current_Promise_Days</f>
        <v>14.0892933285946</v>
      </c>
    </row>
    <row r="12" customFormat="false" ht="15" hidden="false" customHeight="false" outlineLevel="0" collapsed="false">
      <c r="B12" s="10" t="s">
        <v>60</v>
      </c>
      <c r="C12" s="11" t="n">
        <v>704</v>
      </c>
      <c r="D12" s="12" t="n">
        <v>21.6757380938275</v>
      </c>
      <c r="E12" s="13"/>
      <c r="F12" s="13"/>
      <c r="G12" s="14" t="n">
        <v>0.200284090909091</v>
      </c>
      <c r="H12" s="15" t="n">
        <f aca="false">D12*Buffer_Multiplier</f>
        <v>34.681180950124</v>
      </c>
      <c r="I12" s="16" t="n">
        <f aca="false">H12-Current_Promise_Days</f>
        <v>10.681180950124</v>
      </c>
    </row>
    <row r="13" customFormat="false" ht="15" hidden="false" customHeight="false" outlineLevel="0" collapsed="false">
      <c r="B13" s="10" t="s">
        <v>61</v>
      </c>
      <c r="C13" s="11" t="n">
        <v>333</v>
      </c>
      <c r="D13" s="12" t="n">
        <v>21.588511393337</v>
      </c>
      <c r="E13" s="13"/>
      <c r="F13" s="13"/>
      <c r="G13" s="14" t="n">
        <v>0.153153153153153</v>
      </c>
      <c r="H13" s="15" t="n">
        <f aca="false">D13*Buffer_Multiplier</f>
        <v>34.5416182293392</v>
      </c>
      <c r="I13" s="16" t="n">
        <f aca="false">H13-Current_Promise_Days</f>
        <v>10.5416182293392</v>
      </c>
    </row>
    <row r="14" customFormat="false" ht="15" hidden="false" customHeight="false" outlineLevel="0" collapsed="false">
      <c r="B14" s="10" t="s">
        <v>62</v>
      </c>
      <c r="C14" s="11" t="n">
        <v>1259</v>
      </c>
      <c r="D14" s="12" t="n">
        <v>21.3953435358017</v>
      </c>
      <c r="E14" s="13"/>
      <c r="F14" s="13"/>
      <c r="G14" s="14" t="n">
        <v>0.155679110405083</v>
      </c>
      <c r="H14" s="15" t="n">
        <f aca="false">D14*Buffer_Multiplier</f>
        <v>34.2325496572827</v>
      </c>
      <c r="I14" s="16" t="n">
        <f aca="false">H14-Current_Promise_Days</f>
        <v>10.2325496572827</v>
      </c>
    </row>
    <row r="15" customFormat="false" ht="15" hidden="false" customHeight="false" outlineLevel="0" collapsed="false">
      <c r="B15" s="10" t="s">
        <v>63</v>
      </c>
      <c r="C15" s="11" t="n">
        <v>77</v>
      </c>
      <c r="D15" s="12" t="n">
        <v>21.1700733525545</v>
      </c>
      <c r="E15" s="13"/>
      <c r="F15" s="13"/>
      <c r="G15" s="14" t="n">
        <v>0.0389610389610389</v>
      </c>
      <c r="H15" s="15" t="n">
        <f aca="false">D15*Buffer_Multiplier</f>
        <v>33.8721173640873</v>
      </c>
      <c r="I15" s="16" t="n">
        <f aca="false">H15-Current_Promise_Days</f>
        <v>9.87211736408727</v>
      </c>
    </row>
    <row r="16" customFormat="false" ht="15" hidden="false" customHeight="false" outlineLevel="0" collapsed="false">
      <c r="B16" s="10" t="s">
        <v>64</v>
      </c>
      <c r="C16" s="11" t="n">
        <v>509</v>
      </c>
      <c r="D16" s="12" t="n">
        <v>20.5118887115349</v>
      </c>
      <c r="E16" s="13"/>
      <c r="F16" s="13"/>
      <c r="G16" s="14" t="n">
        <v>0.110019646365422</v>
      </c>
      <c r="H16" s="15" t="n">
        <f aca="false">D16*Buffer_Multiplier</f>
        <v>32.8190219384558</v>
      </c>
      <c r="I16" s="16" t="n">
        <f aca="false">H16-Current_Promise_Days</f>
        <v>8.81902193845578</v>
      </c>
    </row>
    <row r="17" customFormat="false" ht="15" hidden="false" customHeight="false" outlineLevel="0" collapsed="false">
      <c r="B17" s="10" t="s">
        <v>65</v>
      </c>
      <c r="C17" s="11" t="n">
        <v>469</v>
      </c>
      <c r="D17" s="12" t="n">
        <v>19.5870735854415</v>
      </c>
      <c r="E17" s="13"/>
      <c r="F17" s="13"/>
      <c r="G17" s="14" t="n">
        <v>0.162046908315565</v>
      </c>
      <c r="H17" s="15" t="n">
        <f aca="false">D17*Buffer_Multiplier</f>
        <v>31.3393177367064</v>
      </c>
      <c r="I17" s="16" t="n">
        <f aca="false">H17-Current_Promise_Days</f>
        <v>7.33931773670637</v>
      </c>
    </row>
    <row r="18" customFormat="false" ht="15" hidden="false" customHeight="false" outlineLevel="0" collapsed="false">
      <c r="B18" s="10" t="s">
        <v>66</v>
      </c>
      <c r="C18" s="11" t="n">
        <v>242</v>
      </c>
      <c r="D18" s="12" t="n">
        <v>19.4155582338572</v>
      </c>
      <c r="E18" s="13"/>
      <c r="F18" s="13"/>
      <c r="G18" s="14" t="n">
        <v>0.0289256198347107</v>
      </c>
      <c r="H18" s="15" t="n">
        <f aca="false">D18*Buffer_Multiplier</f>
        <v>31.0648931741714</v>
      </c>
      <c r="I18" s="16" t="n">
        <f aca="false">H18-Current_Promise_Days</f>
        <v>7.06489317417145</v>
      </c>
    </row>
    <row r="19" customFormat="false" ht="15" hidden="false" customHeight="false" outlineLevel="0" collapsed="false">
      <c r="B19" s="10" t="s">
        <v>67</v>
      </c>
      <c r="C19" s="11" t="n">
        <v>3210</v>
      </c>
      <c r="D19" s="12" t="n">
        <v>19.3830442915652</v>
      </c>
      <c r="E19" s="13"/>
      <c r="F19" s="13"/>
      <c r="G19" s="14" t="n">
        <v>0.140809968847352</v>
      </c>
      <c r="H19" s="15" t="n">
        <f aca="false">D19*Buffer_Multiplier</f>
        <v>31.0128708665043</v>
      </c>
      <c r="I19" s="16" t="n">
        <f aca="false">H19-Current_Promise_Days</f>
        <v>7.01287086650427</v>
      </c>
    </row>
    <row r="20" customFormat="false" ht="15" hidden="false" customHeight="false" outlineLevel="0" collapsed="false">
      <c r="B20" s="10" t="s">
        <v>68</v>
      </c>
      <c r="C20" s="11" t="n">
        <v>467</v>
      </c>
      <c r="D20" s="12" t="n">
        <v>19.3117982195072</v>
      </c>
      <c r="E20" s="13"/>
      <c r="F20" s="13"/>
      <c r="G20" s="14" t="n">
        <v>0.107066381156317</v>
      </c>
      <c r="H20" s="15" t="n">
        <f aca="false">D20*Buffer_Multiplier</f>
        <v>30.8988771512115</v>
      </c>
      <c r="I20" s="16" t="n">
        <f aca="false">H20-Current_Promise_Days</f>
        <v>6.89887715121154</v>
      </c>
    </row>
    <row r="21" customFormat="false" ht="15" hidden="false" customHeight="false" outlineLevel="0" collapsed="false">
      <c r="B21" s="10" t="s">
        <v>69</v>
      </c>
      <c r="C21" s="11" t="n">
        <v>1573</v>
      </c>
      <c r="D21" s="12" t="n">
        <v>18.5234609056695</v>
      </c>
      <c r="E21" s="13"/>
      <c r="F21" s="13"/>
      <c r="G21" s="14" t="n">
        <v>0.109345200254291</v>
      </c>
      <c r="H21" s="15" t="n">
        <f aca="false">D21*Buffer_Multiplier</f>
        <v>29.6375374490711</v>
      </c>
      <c r="I21" s="16" t="n">
        <f aca="false">H21-Current_Promise_Days</f>
        <v>5.63753744907114</v>
      </c>
    </row>
    <row r="22" customFormat="false" ht="15" hidden="false" customHeight="false" outlineLevel="0" collapsed="false">
      <c r="B22" s="10" t="s">
        <v>70</v>
      </c>
      <c r="C22" s="11" t="n">
        <v>871</v>
      </c>
      <c r="D22" s="12" t="n">
        <v>18.1632018991592</v>
      </c>
      <c r="E22" s="13"/>
      <c r="F22" s="13"/>
      <c r="G22" s="14" t="n">
        <v>0.0688863375430539</v>
      </c>
      <c r="H22" s="15" t="n">
        <f aca="false">D22*Buffer_Multiplier</f>
        <v>29.0611230386547</v>
      </c>
      <c r="I22" s="16" t="n">
        <f aca="false">H22-Current_Promise_Days</f>
        <v>5.06112303865472</v>
      </c>
    </row>
    <row r="23" customFormat="false" ht="15" hidden="false" customHeight="false" outlineLevel="0" collapsed="false">
      <c r="B23" s="10" t="s">
        <v>71</v>
      </c>
      <c r="C23" s="11" t="n">
        <v>270</v>
      </c>
      <c r="D23" s="12" t="n">
        <v>17.7814356995919</v>
      </c>
      <c r="E23" s="13"/>
      <c r="F23" s="13"/>
      <c r="G23" s="14" t="n">
        <v>0.12962962962963</v>
      </c>
      <c r="H23" s="15" t="n">
        <f aca="false">D23*Buffer_Multiplier</f>
        <v>28.450297119347</v>
      </c>
      <c r="I23" s="16" t="n">
        <f aca="false">H23-Current_Promise_Days</f>
        <v>4.45029711934704</v>
      </c>
    </row>
    <row r="24" customFormat="false" ht="15" hidden="false" customHeight="false" outlineLevel="0" collapsed="false">
      <c r="B24" s="10" t="s">
        <v>72</v>
      </c>
      <c r="C24" s="11" t="n">
        <v>1968</v>
      </c>
      <c r="D24" s="12" t="n">
        <v>15.8466955665624</v>
      </c>
      <c r="E24" s="13"/>
      <c r="F24" s="13"/>
      <c r="G24" s="14" t="n">
        <v>0.122967479674797</v>
      </c>
      <c r="H24" s="15" t="n">
        <f aca="false">D24*Buffer_Multiplier</f>
        <v>25.3547129064999</v>
      </c>
      <c r="I24" s="16" t="n">
        <f aca="false">H24-Current_Promise_Days</f>
        <v>1.35471290649991</v>
      </c>
    </row>
    <row r="25" customFormat="false" ht="15" hidden="false" customHeight="false" outlineLevel="0" collapsed="false">
      <c r="B25" s="10" t="s">
        <v>73</v>
      </c>
      <c r="C25" s="11" t="n">
        <v>1921</v>
      </c>
      <c r="D25" s="12" t="n">
        <v>15.6771036617667</v>
      </c>
      <c r="E25" s="13"/>
      <c r="F25" s="13"/>
      <c r="G25" s="14" t="n">
        <v>0.0822488287350338</v>
      </c>
      <c r="H25" s="15" t="n">
        <f aca="false">D25*Buffer_Multiplier</f>
        <v>25.0833658588268</v>
      </c>
      <c r="I25" s="16" t="n">
        <f aca="false">H25-Current_Promise_Days</f>
        <v>1.08336585882677</v>
      </c>
    </row>
    <row r="26" customFormat="false" ht="15" hidden="false" customHeight="false" outlineLevel="0" collapsed="false">
      <c r="B26" s="10" t="s">
        <v>74</v>
      </c>
      <c r="C26" s="11" t="n">
        <v>696</v>
      </c>
      <c r="D26" s="12" t="n">
        <v>15.6638391004238</v>
      </c>
      <c r="E26" s="13"/>
      <c r="F26" s="13"/>
      <c r="G26" s="14" t="n">
        <v>0.116379310344828</v>
      </c>
      <c r="H26" s="15" t="n">
        <f aca="false">D26*Buffer_Multiplier</f>
        <v>25.0621425606781</v>
      </c>
      <c r="I26" s="16" t="n">
        <f aca="false">H26-Current_Promise_Days</f>
        <v>1.06214256067814</v>
      </c>
    </row>
    <row r="27" customFormat="false" ht="15" hidden="false" customHeight="false" outlineLevel="0" collapsed="false">
      <c r="B27" s="10" t="s">
        <v>75</v>
      </c>
      <c r="C27" s="11" t="n">
        <v>5260</v>
      </c>
      <c r="D27" s="12" t="n">
        <v>15.3777994912722</v>
      </c>
      <c r="E27" s="13"/>
      <c r="F27" s="13"/>
      <c r="G27" s="14" t="n">
        <v>0.0726235741444867</v>
      </c>
      <c r="H27" s="15" t="n">
        <f aca="false">D27*Buffer_Multiplier</f>
        <v>24.6044791860356</v>
      </c>
      <c r="I27" s="16" t="n">
        <f aca="false">H27-Current_Promise_Days</f>
        <v>0.604479186035587</v>
      </c>
    </row>
    <row r="28" customFormat="false" ht="15" hidden="false" customHeight="false" outlineLevel="0" collapsed="false">
      <c r="B28" s="10" t="s">
        <v>76</v>
      </c>
      <c r="C28" s="11" t="n">
        <v>12210</v>
      </c>
      <c r="D28" s="12" t="n">
        <v>15.3773773612616</v>
      </c>
      <c r="E28" s="13"/>
      <c r="F28" s="13"/>
      <c r="G28" s="14" t="n">
        <v>0.135954135954136</v>
      </c>
      <c r="H28" s="15" t="n">
        <f aca="false">D28*Buffer_Multiplier</f>
        <v>24.6038037780186</v>
      </c>
      <c r="I28" s="16" t="n">
        <f aca="false">H28-Current_Promise_Days</f>
        <v>0.603803778018595</v>
      </c>
    </row>
    <row r="29" customFormat="false" ht="15" hidden="false" customHeight="false" outlineLevel="0" collapsed="false">
      <c r="B29" s="10" t="s">
        <v>77</v>
      </c>
      <c r="C29" s="11" t="n">
        <v>3492</v>
      </c>
      <c r="D29" s="12" t="n">
        <v>15.0378411269406</v>
      </c>
      <c r="E29" s="13"/>
      <c r="F29" s="13"/>
      <c r="G29" s="14" t="n">
        <v>0.0990836197021764</v>
      </c>
      <c r="H29" s="15" t="n">
        <f aca="false">D29*Buffer_Multiplier</f>
        <v>24.0605458031049</v>
      </c>
      <c r="I29" s="16" t="n">
        <f aca="false">H29-Current_Promise_Days</f>
        <v>0.0605458031048975</v>
      </c>
    </row>
    <row r="30" customFormat="false" ht="15" hidden="false" customHeight="false" outlineLevel="0" collapsed="false">
      <c r="B30" s="10" t="s">
        <v>78</v>
      </c>
      <c r="C30" s="11" t="n">
        <v>2041</v>
      </c>
      <c r="D30" s="12" t="n">
        <v>13.053532134074</v>
      </c>
      <c r="E30" s="13"/>
      <c r="F30" s="13"/>
      <c r="G30" s="14" t="n">
        <v>0.0720235178833905</v>
      </c>
      <c r="H30" s="15" t="n">
        <f aca="false">D30*Buffer_Multiplier</f>
        <v>20.8856514145184</v>
      </c>
      <c r="I30" s="16" t="n">
        <f aca="false">H30-Current_Promise_Days</f>
        <v>-3.11434858548165</v>
      </c>
    </row>
    <row r="31" customFormat="false" ht="15" hidden="false" customHeight="false" outlineLevel="0" collapsed="false">
      <c r="B31" s="10" t="s">
        <v>79</v>
      </c>
      <c r="C31" s="11" t="n">
        <v>11186</v>
      </c>
      <c r="D31" s="12" t="n">
        <v>12.0736290299243</v>
      </c>
      <c r="E31" s="13"/>
      <c r="F31" s="13"/>
      <c r="G31" s="14" t="n">
        <v>0.0566779903450742</v>
      </c>
      <c r="H31" s="15" t="n">
        <f aca="false">D31*Buffer_Multiplier</f>
        <v>19.3178064478789</v>
      </c>
      <c r="I31" s="16" t="n">
        <f aca="false">H31-Current_Promise_Days</f>
        <v>-4.68219355212105</v>
      </c>
    </row>
    <row r="32" customFormat="false" ht="15" hidden="false" customHeight="false" outlineLevel="0" collapsed="false">
      <c r="B32" s="10" t="s">
        <v>80</v>
      </c>
      <c r="C32" s="11" t="n">
        <v>4842</v>
      </c>
      <c r="D32" s="12" t="n">
        <v>12.0642563023973</v>
      </c>
      <c r="E32" s="13"/>
      <c r="F32" s="13"/>
      <c r="G32" s="14" t="n">
        <v>0.05059892606361</v>
      </c>
      <c r="H32" s="15" t="n">
        <f aca="false">D32*Buffer_Multiplier</f>
        <v>19.3028100838356</v>
      </c>
      <c r="I32" s="16" t="n">
        <f aca="false">H32-Current_Promise_Days</f>
        <v>-4.69718991616438</v>
      </c>
    </row>
    <row r="33" customFormat="false" ht="15" hidden="false" customHeight="false" outlineLevel="0" collapsed="false">
      <c r="B33" s="10" t="s">
        <v>81</v>
      </c>
      <c r="C33" s="11" t="n">
        <v>39902</v>
      </c>
      <c r="D33" s="12" t="n">
        <v>8.80271311559296</v>
      </c>
      <c r="E33" s="13"/>
      <c r="F33" s="13"/>
      <c r="G33" s="14" t="n">
        <v>0.0595458874241892</v>
      </c>
      <c r="H33" s="15" t="n">
        <f aca="false">D33*Buffer_Multiplier</f>
        <v>14.0843409849487</v>
      </c>
      <c r="I33" s="16" t="n">
        <f aca="false">H33-Current_Promise_Days</f>
        <v>-9.91565901505126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7" min="3" style="0" width="16"/>
  </cols>
  <sheetData>
    <row r="2" customFormat="false" ht="30" hidden="false" customHeight="true" outlineLevel="0" collapsed="false">
      <c r="B2" s="7" t="s">
        <v>82</v>
      </c>
      <c r="C2" s="7"/>
      <c r="D2" s="7"/>
      <c r="E2" s="7"/>
      <c r="F2" s="7"/>
      <c r="G2" s="7"/>
    </row>
    <row r="4" customFormat="false" ht="30" hidden="false" customHeight="true" outlineLevel="0" collapsed="false">
      <c r="B4" s="8" t="s">
        <v>83</v>
      </c>
      <c r="C4" s="8"/>
      <c r="D4" s="8"/>
      <c r="E4" s="8"/>
      <c r="F4" s="8"/>
      <c r="G4" s="8"/>
    </row>
    <row r="6" customFormat="false" ht="15" hidden="false" customHeight="false" outlineLevel="0" collapsed="false">
      <c r="B6" s="9" t="s">
        <v>84</v>
      </c>
      <c r="C6" s="9" t="s">
        <v>85</v>
      </c>
      <c r="D6" s="9" t="s">
        <v>86</v>
      </c>
      <c r="E6" s="9" t="s">
        <v>87</v>
      </c>
      <c r="F6" s="9" t="s">
        <v>88</v>
      </c>
      <c r="G6" s="9" t="s">
        <v>89</v>
      </c>
    </row>
    <row r="7" customFormat="false" ht="15" hidden="false" customHeight="false" outlineLevel="0" collapsed="false">
      <c r="B7" s="10" t="s">
        <v>90</v>
      </c>
      <c r="C7" s="17" t="n">
        <v>21</v>
      </c>
      <c r="D7" s="11" t="n">
        <v>3366</v>
      </c>
      <c r="E7" s="14" t="n">
        <v>0.0204838832300284</v>
      </c>
      <c r="F7" s="12" t="n">
        <v>10.52706161506</v>
      </c>
      <c r="G7" s="13" t="s">
        <v>91</v>
      </c>
    </row>
    <row r="8" customFormat="false" ht="15" hidden="false" customHeight="false" outlineLevel="0" collapsed="false">
      <c r="B8" s="10" t="s">
        <v>92</v>
      </c>
      <c r="C8" s="17" t="n">
        <v>20</v>
      </c>
      <c r="D8" s="11" t="n">
        <v>3616</v>
      </c>
      <c r="E8" s="14" t="n">
        <v>0.0365741733898309</v>
      </c>
      <c r="F8" s="12" t="n">
        <v>11.5476282865907</v>
      </c>
      <c r="G8" s="13" t="s">
        <v>91</v>
      </c>
    </row>
    <row r="9" customFormat="false" ht="15" hidden="false" customHeight="false" outlineLevel="0" collapsed="false">
      <c r="B9" s="10" t="s">
        <v>93</v>
      </c>
      <c r="C9" s="17" t="n">
        <v>20</v>
      </c>
      <c r="D9" s="11" t="n">
        <v>4084</v>
      </c>
      <c r="E9" s="14" t="n">
        <v>0.0504427613543027</v>
      </c>
      <c r="F9" s="12" t="n">
        <v>11.595741787352</v>
      </c>
      <c r="G9" s="13" t="s">
        <v>94</v>
      </c>
    </row>
    <row r="10" customFormat="false" ht="15" hidden="false" customHeight="false" outlineLevel="0" collapsed="false">
      <c r="B10" s="10" t="s">
        <v>95</v>
      </c>
      <c r="C10" s="17" t="n">
        <v>20</v>
      </c>
      <c r="D10" s="11" t="n">
        <v>8725</v>
      </c>
      <c r="E10" s="14" t="n">
        <v>0.0588850658011497</v>
      </c>
      <c r="F10" s="12" t="n">
        <v>12.1167897454697</v>
      </c>
      <c r="G10" s="13" t="s">
        <v>94</v>
      </c>
    </row>
    <row r="11" customFormat="false" ht="15" hidden="false" customHeight="false" outlineLevel="0" collapsed="false">
      <c r="B11" s="10" t="s">
        <v>96</v>
      </c>
      <c r="C11" s="17" t="n">
        <v>20</v>
      </c>
      <c r="D11" s="11" t="n">
        <v>5892</v>
      </c>
      <c r="E11" s="14" t="n">
        <v>0.0650894992932481</v>
      </c>
      <c r="F11" s="12" t="n">
        <v>12.0862700939789</v>
      </c>
      <c r="G11" s="13" t="s">
        <v>94</v>
      </c>
    </row>
    <row r="12" customFormat="false" ht="15" hidden="false" customHeight="false" outlineLevel="0" collapsed="false">
      <c r="B12" s="10" t="s">
        <v>97</v>
      </c>
      <c r="C12" s="17" t="n">
        <v>20</v>
      </c>
      <c r="D12" s="11" t="n">
        <v>6091</v>
      </c>
      <c r="E12" s="14" t="n">
        <v>0.0756191411590201</v>
      </c>
      <c r="F12" s="12" t="n">
        <v>12.3104203474425</v>
      </c>
      <c r="G12" s="13" t="s">
        <v>94</v>
      </c>
    </row>
    <row r="13" customFormat="false" ht="15" hidden="false" customHeight="false" outlineLevel="0" collapsed="false">
      <c r="B13" s="10" t="s">
        <v>98</v>
      </c>
      <c r="C13" s="17" t="n">
        <v>20</v>
      </c>
      <c r="D13" s="11" t="n">
        <v>4426</v>
      </c>
      <c r="E13" s="14" t="n">
        <v>0.090293980624283</v>
      </c>
      <c r="F13" s="12" t="n">
        <v>12.6789066850596</v>
      </c>
      <c r="G13" s="13" t="s">
        <v>94</v>
      </c>
    </row>
    <row r="14" customFormat="false" ht="15" hidden="false" customHeight="false" outlineLevel="0" collapsed="false">
      <c r="B14" s="10" t="s">
        <v>99</v>
      </c>
      <c r="C14" s="17" t="n">
        <v>20</v>
      </c>
      <c r="D14" s="11" t="n">
        <v>9638</v>
      </c>
      <c r="E14" s="14" t="n">
        <v>0.103878456730751</v>
      </c>
      <c r="F14" s="12" t="n">
        <v>13.6670328242137</v>
      </c>
      <c r="G14" s="13" t="s">
        <v>94</v>
      </c>
    </row>
    <row r="15" customFormat="false" ht="15" hidden="false" customHeight="false" outlineLevel="0" collapsed="false">
      <c r="B15" s="10" t="s">
        <v>100</v>
      </c>
      <c r="C15" s="17" t="n">
        <v>20</v>
      </c>
      <c r="D15" s="11" t="n">
        <v>7067</v>
      </c>
      <c r="E15" s="18" t="n">
        <v>0.118093984260373</v>
      </c>
      <c r="F15" s="12" t="n">
        <v>13.9114778102271</v>
      </c>
      <c r="G15" s="19" t="s">
        <v>101</v>
      </c>
    </row>
    <row r="16" customFormat="false" ht="15" hidden="false" customHeight="false" outlineLevel="0" collapsed="false">
      <c r="B16" s="10" t="s">
        <v>102</v>
      </c>
      <c r="C16" s="17" t="n">
        <v>21</v>
      </c>
      <c r="D16" s="11" t="n">
        <v>3762</v>
      </c>
      <c r="E16" s="18" t="n">
        <v>0.161260345637172</v>
      </c>
      <c r="F16" s="12" t="n">
        <v>15.226588375032</v>
      </c>
      <c r="G16" s="19" t="s">
        <v>101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8" min="3" style="0" width="16"/>
  </cols>
  <sheetData>
    <row r="2" customFormat="false" ht="30" hidden="false" customHeight="true" outlineLevel="0" collapsed="false">
      <c r="B2" s="7" t="s">
        <v>103</v>
      </c>
      <c r="C2" s="7"/>
      <c r="D2" s="7"/>
      <c r="E2" s="7"/>
      <c r="F2" s="7"/>
      <c r="G2" s="7"/>
      <c r="H2" s="7"/>
    </row>
    <row r="4" customFormat="false" ht="24.75" hidden="false" customHeight="true" outlineLevel="0" collapsed="false">
      <c r="B4" s="8" t="s">
        <v>104</v>
      </c>
      <c r="C4" s="8"/>
      <c r="D4" s="8"/>
      <c r="E4" s="8"/>
      <c r="F4" s="8"/>
      <c r="G4" s="8"/>
      <c r="H4" s="8"/>
    </row>
    <row r="6" customFormat="false" ht="15" hidden="false" customHeight="false" outlineLevel="0" collapsed="false">
      <c r="B6" s="9" t="s">
        <v>105</v>
      </c>
      <c r="C6" s="9" t="s">
        <v>106</v>
      </c>
      <c r="D6" s="9" t="s">
        <v>107</v>
      </c>
      <c r="E6" s="9" t="s">
        <v>108</v>
      </c>
      <c r="F6" s="9" t="s">
        <v>109</v>
      </c>
      <c r="G6" s="9" t="s">
        <v>110</v>
      </c>
      <c r="H6" s="9" t="s">
        <v>111</v>
      </c>
    </row>
    <row r="7" customFormat="false" ht="15" hidden="false" customHeight="false" outlineLevel="0" collapsed="false">
      <c r="B7" s="20" t="s">
        <v>112</v>
      </c>
      <c r="C7" s="11" t="n">
        <v>87304</v>
      </c>
      <c r="D7" s="21" t="n">
        <v>4.29319389718684</v>
      </c>
      <c r="E7" s="14" t="n">
        <v>0.0922752680289562</v>
      </c>
      <c r="F7" s="22" t="n">
        <f aca="false">E7*Return_Conversion</f>
        <v>0.0276825804086869</v>
      </c>
      <c r="G7" s="23" t="n">
        <f aca="false">Avg_Order_Value+Shipping_Penalty</f>
        <v>185</v>
      </c>
      <c r="H7" s="24" t="n">
        <f aca="false">C7*F7*G7</f>
        <v>447108</v>
      </c>
    </row>
    <row r="8" customFormat="false" ht="15" hidden="false" customHeight="false" outlineLevel="0" collapsed="false">
      <c r="B8" s="20" t="s">
        <v>113</v>
      </c>
      <c r="C8" s="11" t="n">
        <v>2633</v>
      </c>
      <c r="D8" s="21" t="n">
        <v>3.76414736042537</v>
      </c>
      <c r="E8" s="14" t="n">
        <v>0.191796429927839</v>
      </c>
      <c r="F8" s="22" t="n">
        <f aca="false">E8*Return_Conversion</f>
        <v>0.0575389289783517</v>
      </c>
      <c r="G8" s="23" t="n">
        <f aca="false">Avg_Order_Value+Shipping_Penalty</f>
        <v>185</v>
      </c>
      <c r="H8" s="24" t="n">
        <f aca="false">C8*F8*G8</f>
        <v>28027.5</v>
      </c>
    </row>
    <row r="9" customFormat="false" ht="15" hidden="false" customHeight="false" outlineLevel="0" collapsed="false">
      <c r="B9" s="20" t="s">
        <v>114</v>
      </c>
      <c r="C9" s="11" t="n">
        <v>1770</v>
      </c>
      <c r="D9" s="21" t="n">
        <v>2.31581920903955</v>
      </c>
      <c r="E9" s="14" t="n">
        <v>0.613559322033898</v>
      </c>
      <c r="F9" s="22" t="n">
        <f aca="false">E9*Return_Conversion</f>
        <v>0.184067796610169</v>
      </c>
      <c r="G9" s="23" t="n">
        <f aca="false">Avg_Order_Value+Shipping_Penalty</f>
        <v>185</v>
      </c>
      <c r="H9" s="24" t="n">
        <f aca="false">C9*F9*G9</f>
        <v>60273</v>
      </c>
    </row>
    <row r="10" customFormat="false" ht="15" hidden="false" customHeight="false" outlineLevel="0" collapsed="false">
      <c r="B10" s="20" t="s">
        <v>115</v>
      </c>
      <c r="C10" s="11" t="n">
        <v>3263</v>
      </c>
      <c r="D10" s="21" t="n">
        <v>1.73061599754827</v>
      </c>
      <c r="E10" s="14" t="n">
        <v>0.783634692001226</v>
      </c>
      <c r="F10" s="22" t="n">
        <f aca="false">E10*Return_Conversion</f>
        <v>0.235090407600368</v>
      </c>
      <c r="G10" s="23" t="n">
        <f aca="false">Avg_Order_Value+Shipping_Penalty</f>
        <v>185</v>
      </c>
      <c r="H10" s="24" t="n">
        <f aca="false">C10*F10*G10</f>
        <v>141913.5</v>
      </c>
    </row>
    <row r="11" customFormat="false" ht="15" hidden="false" customHeight="false" outlineLevel="0" collapsed="false">
      <c r="B11" s="25" t="s">
        <v>116</v>
      </c>
      <c r="C11" s="26" t="n">
        <f aca="false">SUM(C7:C10)</f>
        <v>94970</v>
      </c>
      <c r="H11" s="27" t="n">
        <f aca="false">SUM(H7:H10)</f>
        <v>677322</v>
      </c>
    </row>
    <row r="13" customFormat="false" ht="15" hidden="false" customHeight="false" outlineLevel="0" collapsed="false">
      <c r="B13" s="25" t="s">
        <v>117</v>
      </c>
      <c r="H13" s="27" t="n">
        <f aca="false">SUM(H8:H10)</f>
        <v>230214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0"/>
  </cols>
  <sheetData>
    <row r="2" customFormat="false" ht="30" hidden="false" customHeight="true" outlineLevel="0" collapsed="false">
      <c r="B2" s="7" t="s">
        <v>118</v>
      </c>
      <c r="C2" s="7"/>
      <c r="D2" s="7"/>
      <c r="E2" s="7"/>
    </row>
    <row r="4" customFormat="false" ht="15" hidden="false" customHeight="false" outlineLevel="0" collapsed="false">
      <c r="B4" s="28" t="s">
        <v>119</v>
      </c>
      <c r="C4" s="28"/>
      <c r="D4" s="28"/>
      <c r="E4" s="28"/>
    </row>
    <row r="5" customFormat="false" ht="15" hidden="false" customHeight="false" outlineLevel="0" collapsed="false">
      <c r="B5" s="29" t="s">
        <v>120</v>
      </c>
      <c r="C5" s="29" t="s">
        <v>121</v>
      </c>
      <c r="D5" s="29" t="s">
        <v>122</v>
      </c>
      <c r="E5" s="29" t="s">
        <v>123</v>
      </c>
    </row>
    <row r="6" customFormat="false" ht="15" hidden="false" customHeight="false" outlineLevel="0" collapsed="false">
      <c r="B6" s="13" t="s">
        <v>124</v>
      </c>
      <c r="C6" s="30" t="n">
        <v>150</v>
      </c>
      <c r="D6" s="31" t="s">
        <v>125</v>
      </c>
      <c r="E6" s="31" t="s">
        <v>126</v>
      </c>
    </row>
    <row r="7" customFormat="false" ht="15" hidden="false" customHeight="false" outlineLevel="0" collapsed="false">
      <c r="B7" s="13" t="s">
        <v>127</v>
      </c>
      <c r="C7" s="32" t="n">
        <v>35</v>
      </c>
      <c r="D7" s="31" t="s">
        <v>125</v>
      </c>
      <c r="E7" s="31" t="s">
        <v>128</v>
      </c>
    </row>
    <row r="8" customFormat="false" ht="15" hidden="false" customHeight="false" outlineLevel="0" collapsed="false">
      <c r="B8" s="13" t="s">
        <v>129</v>
      </c>
      <c r="C8" s="33" t="n">
        <v>0.3</v>
      </c>
      <c r="D8" s="31" t="s">
        <v>130</v>
      </c>
      <c r="E8" s="31" t="s">
        <v>131</v>
      </c>
    </row>
    <row r="9" customFormat="false" ht="15" hidden="false" customHeight="false" outlineLevel="0" collapsed="false">
      <c r="B9" s="13" t="s">
        <v>132</v>
      </c>
      <c r="C9" s="34" t="n">
        <v>24</v>
      </c>
      <c r="D9" s="31" t="s">
        <v>133</v>
      </c>
      <c r="E9" s="31" t="s">
        <v>134</v>
      </c>
    </row>
    <row r="10" customFormat="false" ht="15" hidden="false" customHeight="false" outlineLevel="0" collapsed="false">
      <c r="B10" s="13" t="s">
        <v>135</v>
      </c>
      <c r="C10" s="35" t="n">
        <v>1.6</v>
      </c>
      <c r="D10" s="31" t="s">
        <v>136</v>
      </c>
      <c r="E10" s="31" t="s">
        <v>137</v>
      </c>
    </row>
    <row r="11" customFormat="false" ht="15" hidden="false" customHeight="false" outlineLevel="0" collapsed="false">
      <c r="B11" s="13" t="s">
        <v>138</v>
      </c>
      <c r="C11" s="32" t="n">
        <v>500</v>
      </c>
      <c r="D11" s="31" t="s">
        <v>125</v>
      </c>
      <c r="E11" s="31" t="s">
        <v>139</v>
      </c>
    </row>
    <row r="12" customFormat="false" ht="15" hidden="false" customHeight="false" outlineLevel="0" collapsed="false">
      <c r="B12" s="13" t="s">
        <v>140</v>
      </c>
      <c r="C12" s="36" t="n">
        <v>0.5</v>
      </c>
      <c r="D12" s="31" t="s">
        <v>130</v>
      </c>
      <c r="E12" s="31" t="s">
        <v>141</v>
      </c>
    </row>
    <row r="13" customFormat="false" ht="15" hidden="false" customHeight="false" outlineLevel="0" collapsed="false">
      <c r="B13" s="13" t="s">
        <v>142</v>
      </c>
      <c r="C13" s="32" t="n">
        <v>12</v>
      </c>
      <c r="D13" s="31" t="s">
        <v>125</v>
      </c>
      <c r="E13" s="31" t="s">
        <v>143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22"/>
  </cols>
  <sheetData>
    <row r="2" customFormat="false" ht="30" hidden="false" customHeight="true" outlineLevel="0" collapsed="false">
      <c r="B2" s="7" t="s">
        <v>144</v>
      </c>
      <c r="C2" s="7"/>
      <c r="D2" s="7"/>
      <c r="E2" s="7"/>
      <c r="F2" s="7"/>
    </row>
    <row r="4" customFormat="false" ht="18" hidden="false" customHeight="true" outlineLevel="0" collapsed="false">
      <c r="B4" s="37" t="s">
        <v>145</v>
      </c>
      <c r="C4" s="37"/>
      <c r="D4" s="37"/>
      <c r="E4" s="37"/>
      <c r="F4" s="37"/>
    </row>
    <row r="6" customFormat="false" ht="15" hidden="false" customHeight="false" outlineLevel="0" collapsed="false">
      <c r="B6" s="9" t="s">
        <v>146</v>
      </c>
      <c r="C6" s="9" t="s">
        <v>147</v>
      </c>
      <c r="D6" s="9" t="s">
        <v>148</v>
      </c>
      <c r="E6" s="9" t="s">
        <v>149</v>
      </c>
      <c r="F6" s="9" t="s">
        <v>150</v>
      </c>
    </row>
    <row r="7" customFormat="false" ht="15" hidden="false" customHeight="false" outlineLevel="0" collapsed="false">
      <c r="B7" s="13" t="s">
        <v>151</v>
      </c>
      <c r="C7" s="38" t="n">
        <v>0</v>
      </c>
      <c r="D7" s="39" t="n">
        <f aca="false">Seller_Intervention_Reduction</f>
        <v>0.5</v>
      </c>
      <c r="E7" s="38" t="n">
        <v>0</v>
      </c>
      <c r="F7" s="39" t="n">
        <f aca="false">Seller_Intervention_Reduction</f>
        <v>0.5</v>
      </c>
    </row>
    <row r="8" customFormat="false" ht="15" hidden="false" customHeight="false" outlineLevel="0" collapsed="false">
      <c r="B8" s="13" t="s">
        <v>152</v>
      </c>
      <c r="C8" s="21" t="n">
        <v>1</v>
      </c>
      <c r="D8" s="21" t="n">
        <v>1</v>
      </c>
      <c r="E8" s="40" t="n">
        <f aca="false">Buffer_Multiplier</f>
        <v>1.6</v>
      </c>
      <c r="F8" s="40" t="n">
        <f aca="false">Buffer_Multiplier</f>
        <v>1.6</v>
      </c>
    </row>
    <row r="9" customFormat="false" ht="15" hidden="false" customHeight="false" outlineLevel="0" collapsed="false">
      <c r="B9" s="13" t="s">
        <v>153</v>
      </c>
      <c r="C9" s="41" t="n">
        <v>0</v>
      </c>
      <c r="D9" s="42" t="n">
        <f aca="false">20*Seller_Intervention_Cost</f>
        <v>10000</v>
      </c>
      <c r="E9" s="41" t="n">
        <v>0</v>
      </c>
      <c r="F9" s="42" t="n">
        <f aca="false">20*Seller_Intervention_Cost</f>
        <v>10000</v>
      </c>
    </row>
    <row r="10" customFormat="false" ht="15" hidden="false" customHeight="false" outlineLevel="0" collapsed="false">
      <c r="B10" s="31" t="s">
        <v>154</v>
      </c>
    </row>
    <row r="12" customFormat="false" ht="15" hidden="false" customHeight="false" outlineLevel="0" collapsed="false">
      <c r="B12" s="20" t="s">
        <v>155</v>
      </c>
      <c r="C12" s="43" t="n">
        <v>1</v>
      </c>
      <c r="D12" s="31" t="s">
        <v>156</v>
      </c>
    </row>
    <row r="13" customFormat="false" ht="15" hidden="false" customHeight="false" outlineLevel="0" collapsed="false">
      <c r="B13" s="20" t="s">
        <v>157</v>
      </c>
      <c r="C13" s="44" t="n">
        <f aca="false">INDEX(C7:F7, $C$12)</f>
        <v>0</v>
      </c>
    </row>
    <row r="14" customFormat="false" ht="15" hidden="false" customHeight="false" outlineLevel="0" collapsed="false">
      <c r="B14" s="20" t="s">
        <v>158</v>
      </c>
      <c r="C14" s="45" t="n">
        <f aca="false">INDEX(C8:F8, $C$12)</f>
        <v>1</v>
      </c>
    </row>
    <row r="15" customFormat="false" ht="15" hidden="false" customHeight="false" outlineLevel="0" collapsed="false">
      <c r="B15" s="20" t="s">
        <v>159</v>
      </c>
      <c r="C15" s="46" t="n">
        <f aca="false">INDEX(C9:F9, $C$12)</f>
        <v>0</v>
      </c>
    </row>
  </sheetData>
  <mergeCells count="2">
    <mergeCell ref="B2:F2"/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5" min="3" style="0" width="16"/>
  </cols>
  <sheetData>
    <row r="2" customFormat="false" ht="30" hidden="false" customHeight="true" outlineLevel="0" collapsed="false">
      <c r="B2" s="7" t="s">
        <v>160</v>
      </c>
      <c r="C2" s="7"/>
      <c r="D2" s="7"/>
      <c r="E2" s="7"/>
    </row>
    <row r="4" customFormat="false" ht="24.75" hidden="false" customHeight="true" outlineLevel="0" collapsed="false">
      <c r="B4" s="8" t="s">
        <v>161</v>
      </c>
      <c r="C4" s="8"/>
      <c r="D4" s="8"/>
      <c r="E4" s="8"/>
    </row>
    <row r="6" customFormat="false" ht="15" hidden="false" customHeight="false" outlineLevel="0" collapsed="false">
      <c r="B6" s="9" t="s">
        <v>162</v>
      </c>
      <c r="C6" s="9" t="s">
        <v>163</v>
      </c>
      <c r="D6" s="9" t="s">
        <v>164</v>
      </c>
      <c r="E6" s="9" t="s">
        <v>165</v>
      </c>
      <c r="F6" s="9" t="s">
        <v>166</v>
      </c>
    </row>
    <row r="7" customFormat="false" ht="15" hidden="false" customHeight="false" outlineLevel="0" collapsed="false">
      <c r="B7" s="47" t="s">
        <v>167</v>
      </c>
      <c r="C7" s="17" t="n">
        <v>226.979474064741</v>
      </c>
      <c r="D7" s="17" t="n">
        <v>135.145757343045</v>
      </c>
      <c r="E7" s="17" t="n">
        <v>318.813190786437</v>
      </c>
      <c r="F7" s="48" t="n">
        <f aca="false">C7*Capacity_Cost</f>
        <v>2723.75368877689</v>
      </c>
    </row>
    <row r="8" customFormat="false" ht="15" hidden="false" customHeight="false" outlineLevel="0" collapsed="false">
      <c r="B8" s="47" t="s">
        <v>168</v>
      </c>
      <c r="C8" s="17" t="n">
        <v>218.815957814325</v>
      </c>
      <c r="D8" s="17" t="n">
        <v>120.224083422838</v>
      </c>
      <c r="E8" s="17" t="n">
        <v>317.407832205812</v>
      </c>
      <c r="F8" s="48" t="n">
        <f aca="false">C8*Capacity_Cost</f>
        <v>2625.7914937719</v>
      </c>
    </row>
    <row r="9" customFormat="false" ht="15" hidden="false" customHeight="false" outlineLevel="0" collapsed="false">
      <c r="B9" s="47" t="s">
        <v>169</v>
      </c>
      <c r="C9" s="17" t="n">
        <v>178.332628656756</v>
      </c>
      <c r="D9" s="17" t="n">
        <v>77.0130485350182</v>
      </c>
      <c r="E9" s="17" t="n">
        <v>279.652208778495</v>
      </c>
      <c r="F9" s="48" t="n">
        <f aca="false">C9*Capacity_Cost</f>
        <v>2139.99154388108</v>
      </c>
    </row>
    <row r="10" customFormat="false" ht="15" hidden="false" customHeight="false" outlineLevel="0" collapsed="false">
      <c r="B10" s="47" t="s">
        <v>170</v>
      </c>
      <c r="C10" s="17" t="n">
        <v>194.833274603314</v>
      </c>
      <c r="D10" s="17" t="n">
        <v>91.4507671922362</v>
      </c>
      <c r="E10" s="17" t="n">
        <v>298.215782014392</v>
      </c>
      <c r="F10" s="48" t="n">
        <f aca="false">C10*Capacity_Cost</f>
        <v>2337.99929523977</v>
      </c>
    </row>
    <row r="11" customFormat="false" ht="15" hidden="false" customHeight="false" outlineLevel="0" collapsed="false">
      <c r="B11" s="47" t="s">
        <v>171</v>
      </c>
      <c r="C11" s="17" t="n">
        <v>257.298639080054</v>
      </c>
      <c r="D11" s="17" t="n">
        <v>152.014091711874</v>
      </c>
      <c r="E11" s="17" t="n">
        <v>362.583186448233</v>
      </c>
      <c r="F11" s="48" t="n">
        <f aca="false">C11*Capacity_Cost</f>
        <v>3087.58366896064</v>
      </c>
    </row>
    <row r="12" customFormat="false" ht="15" hidden="false" customHeight="false" outlineLevel="0" collapsed="false">
      <c r="B12" s="47" t="s">
        <v>172</v>
      </c>
      <c r="C12" s="17" t="n">
        <v>249.367509214304</v>
      </c>
      <c r="D12" s="17" t="n">
        <v>142.240622699007</v>
      </c>
      <c r="E12" s="17" t="n">
        <v>356.494395729601</v>
      </c>
      <c r="F12" s="48" t="n">
        <f aca="false">C12*Capacity_Cost</f>
        <v>2992.41011057165</v>
      </c>
    </row>
    <row r="13" customFormat="false" ht="15" hidden="false" customHeight="false" outlineLevel="0" collapsed="false">
      <c r="B13" s="47" t="s">
        <v>173</v>
      </c>
      <c r="C13" s="17" t="n">
        <v>244.924644206199</v>
      </c>
      <c r="D13" s="17" t="n">
        <v>135.992265588477</v>
      </c>
      <c r="E13" s="17" t="n">
        <v>353.85702282392</v>
      </c>
      <c r="F13" s="48" t="n">
        <f aca="false">C13*Capacity_Cost</f>
        <v>2939.09573047438</v>
      </c>
    </row>
    <row r="14" customFormat="false" ht="15" hidden="false" customHeight="false" outlineLevel="0" collapsed="false">
      <c r="B14" s="47" t="s">
        <v>174</v>
      </c>
      <c r="C14" s="17" t="n">
        <v>239.333084136787</v>
      </c>
      <c r="D14" s="17" t="n">
        <v>127.022319856363</v>
      </c>
      <c r="E14" s="17" t="n">
        <v>351.643848417211</v>
      </c>
      <c r="F14" s="48" t="n">
        <f aca="false">C14*Capacity_Cost</f>
        <v>2871.99700964144</v>
      </c>
    </row>
    <row r="15" customFormat="false" ht="15" hidden="false" customHeight="false" outlineLevel="0" collapsed="false">
      <c r="B15" s="47" t="s">
        <v>175</v>
      </c>
      <c r="C15" s="17" t="n">
        <v>222.434153277736</v>
      </c>
      <c r="D15" s="17" t="n">
        <v>107.850442709708</v>
      </c>
      <c r="E15" s="17" t="n">
        <v>337.017863845764</v>
      </c>
      <c r="F15" s="48" t="n">
        <f aca="false">C15*Capacity_Cost</f>
        <v>2669.20983933283</v>
      </c>
    </row>
    <row r="16" customFormat="false" ht="15" hidden="false" customHeight="false" outlineLevel="0" collapsed="false">
      <c r="B16" s="47" t="s">
        <v>176</v>
      </c>
      <c r="C16" s="17" t="n">
        <v>179.869472390624</v>
      </c>
      <c r="D16" s="17" t="n">
        <v>63.2540169595889</v>
      </c>
      <c r="E16" s="17" t="n">
        <v>296.484927821658</v>
      </c>
      <c r="F16" s="48" t="n">
        <f aca="false">C16*Capacity_Cost</f>
        <v>2158.43366868748</v>
      </c>
    </row>
    <row r="17" customFormat="false" ht="15" hidden="false" customHeight="false" outlineLevel="0" collapsed="false">
      <c r="B17" s="47" t="s">
        <v>177</v>
      </c>
      <c r="C17" s="17" t="n">
        <v>196.077274971292</v>
      </c>
      <c r="D17" s="17" t="n">
        <v>77.5070168243728</v>
      </c>
      <c r="E17" s="17" t="n">
        <v>314.647533118211</v>
      </c>
      <c r="F17" s="48" t="n">
        <f aca="false">C17*Capacity_Cost</f>
        <v>2352.9272996555</v>
      </c>
    </row>
    <row r="18" customFormat="false" ht="15" hidden="false" customHeight="false" outlineLevel="0" collapsed="false">
      <c r="B18" s="47" t="s">
        <v>178</v>
      </c>
      <c r="C18" s="17" t="n">
        <v>259.031301684766</v>
      </c>
      <c r="D18" s="17" t="n">
        <v>138.547250456408</v>
      </c>
      <c r="E18" s="17" t="n">
        <v>379.515352913124</v>
      </c>
      <c r="F18" s="48" t="n">
        <f aca="false">C18*Capacity_Cost</f>
        <v>3108.37562021719</v>
      </c>
    </row>
    <row r="19" customFormat="false" ht="15" hidden="false" customHeight="false" outlineLevel="0" collapsed="false">
      <c r="B19" s="47" t="s">
        <v>179</v>
      </c>
      <c r="C19" s="17" t="n">
        <v>251.233576564863</v>
      </c>
      <c r="D19" s="17" t="n">
        <v>128.867655093864</v>
      </c>
      <c r="E19" s="17" t="n">
        <v>373.599498035862</v>
      </c>
      <c r="F19" s="48" t="n">
        <f aca="false">C19*Capacity_Cost</f>
        <v>3014.80291877836</v>
      </c>
    </row>
    <row r="20" customFormat="false" ht="15" hidden="false" customHeight="false" outlineLevel="0" collapsed="false">
      <c r="B20" s="47" t="s">
        <v>180</v>
      </c>
      <c r="C20" s="17" t="n">
        <v>248.705217639132</v>
      </c>
      <c r="D20" s="17" t="n">
        <v>124.486377017584</v>
      </c>
      <c r="E20" s="17" t="n">
        <v>372.92405826068</v>
      </c>
      <c r="F20" s="48" t="n">
        <f aca="false">C20*Capacity_Cost</f>
        <v>2984.46261166958</v>
      </c>
    </row>
    <row r="21" customFormat="false" ht="15" hidden="false" customHeight="false" outlineLevel="0" collapsed="false">
      <c r="B21" s="47" t="s">
        <v>181</v>
      </c>
      <c r="C21" s="17" t="n">
        <v>241.191060485475</v>
      </c>
      <c r="D21" s="17" t="n">
        <v>114.353975419235</v>
      </c>
      <c r="E21" s="17" t="n">
        <v>368.028145551714</v>
      </c>
      <c r="F21" s="48" t="n">
        <f aca="false">C21*Capacity_Cost</f>
        <v>2894.2927258257</v>
      </c>
    </row>
    <row r="22" customFormat="false" ht="15" hidden="false" customHeight="false" outlineLevel="0" collapsed="false">
      <c r="B22" s="47" t="s">
        <v>182</v>
      </c>
      <c r="C22" s="17" t="n">
        <v>223.946293376691</v>
      </c>
      <c r="D22" s="17" t="n">
        <v>95.0335359172159</v>
      </c>
      <c r="E22" s="17" t="n">
        <v>352.859050836165</v>
      </c>
      <c r="F22" s="48" t="n">
        <f aca="false">C22*Capacity_Cost</f>
        <v>2687.35552052029</v>
      </c>
    </row>
    <row r="23" customFormat="false" ht="15" hidden="false" customHeight="false" outlineLevel="0" collapsed="false">
      <c r="B23" s="47" t="s">
        <v>183</v>
      </c>
      <c r="C23" s="17" t="n">
        <v>181.299215965393</v>
      </c>
      <c r="D23" s="17" t="n">
        <v>50.4447073503081</v>
      </c>
      <c r="E23" s="17" t="n">
        <v>312.153724580477</v>
      </c>
      <c r="F23" s="48" t="n">
        <f aca="false">C23*Capacity_Cost</f>
        <v>2175.59059158471</v>
      </c>
    </row>
    <row r="24" customFormat="false" ht="15" hidden="false" customHeight="false" outlineLevel="0" collapsed="false">
      <c r="B24" s="47" t="s">
        <v>184</v>
      </c>
      <c r="C24" s="17" t="n">
        <v>197.495419731131</v>
      </c>
      <c r="D24" s="17" t="n">
        <v>64.7495025746677</v>
      </c>
      <c r="E24" s="17" t="n">
        <v>330.241336887594</v>
      </c>
      <c r="F24" s="48" t="n">
        <f aca="false">C24*Capacity_Cost</f>
        <v>2369.94503677357</v>
      </c>
    </row>
    <row r="25" customFormat="false" ht="15" hidden="false" customHeight="false" outlineLevel="0" collapsed="false">
      <c r="B25" s="47" t="s">
        <v>185</v>
      </c>
      <c r="C25" s="17" t="n">
        <v>260.468771930484</v>
      </c>
      <c r="D25" s="17" t="n">
        <v>125.862925125408</v>
      </c>
      <c r="E25" s="17" t="n">
        <v>395.07461873556</v>
      </c>
      <c r="F25" s="48" t="n">
        <f aca="false">C25*Capacity_Cost</f>
        <v>3125.62526316581</v>
      </c>
    </row>
    <row r="26" customFormat="false" ht="15" hidden="false" customHeight="false" outlineLevel="0" collapsed="false">
      <c r="B26" s="47" t="s">
        <v>186</v>
      </c>
      <c r="C26" s="17" t="n">
        <v>252.676322836663</v>
      </c>
      <c r="D26" s="17" t="n">
        <v>116.23694991148</v>
      </c>
      <c r="E26" s="17" t="n">
        <v>389.115695761847</v>
      </c>
      <c r="F26" s="48" t="n">
        <f aca="false">C26*Capacity_Cost</f>
        <v>3032.11587403996</v>
      </c>
    </row>
    <row r="27" customFormat="false" ht="15" hidden="false" customHeight="false" outlineLevel="0" collapsed="false">
      <c r="B27" s="47" t="s">
        <v>187</v>
      </c>
      <c r="C27" s="17" t="n">
        <v>250.22369166718</v>
      </c>
      <c r="D27" s="17" t="n">
        <v>111.975341073719</v>
      </c>
      <c r="E27" s="17" t="n">
        <v>388.47204226064</v>
      </c>
      <c r="F27" s="48" t="n">
        <f aca="false">C27*Capacity_Cost</f>
        <v>3002.68430000615</v>
      </c>
    </row>
    <row r="28" customFormat="false" ht="15" hidden="false" customHeight="false" outlineLevel="0" collapsed="false">
      <c r="B28" s="47" t="s">
        <v>188</v>
      </c>
      <c r="C28" s="17" t="n">
        <v>242.633486507356</v>
      </c>
      <c r="D28" s="17" t="n">
        <v>101.882715964122</v>
      </c>
      <c r="E28" s="17" t="n">
        <v>383.38425705059</v>
      </c>
      <c r="F28" s="48" t="n">
        <f aca="false">C28*Capacity_Cost</f>
        <v>2911.60183808827</v>
      </c>
    </row>
    <row r="29" customFormat="false" ht="15" hidden="false" customHeight="false" outlineLevel="0" collapsed="false">
      <c r="B29" s="47" t="s">
        <v>189</v>
      </c>
      <c r="C29" s="17" t="n">
        <v>225.375039901845</v>
      </c>
      <c r="D29" s="17" t="n">
        <v>82.608662804991</v>
      </c>
      <c r="E29" s="17" t="n">
        <v>368.1414169987</v>
      </c>
      <c r="F29" s="48" t="n">
        <f aca="false">C29*Capacity_Cost</f>
        <v>2704.50047882214</v>
      </c>
    </row>
    <row r="30" customFormat="false" ht="15" hidden="false" customHeight="false" outlineLevel="0" collapsed="false">
      <c r="B30" s="47" t="s">
        <v>190</v>
      </c>
      <c r="C30" s="17" t="n">
        <v>182.724703309532</v>
      </c>
      <c r="D30" s="17" t="n">
        <v>38.0627434483498</v>
      </c>
      <c r="E30" s="17" t="n">
        <v>327.386663170715</v>
      </c>
      <c r="F30" s="48" t="n">
        <f aca="false">C30*Capacity_Cost</f>
        <v>2192.69643971439</v>
      </c>
    </row>
    <row r="31" customFormat="false" ht="15" hidden="false" customHeight="false" outlineLevel="0" collapsed="false">
      <c r="B31" s="47" t="s">
        <v>191</v>
      </c>
      <c r="C31" s="17" t="n">
        <v>198.920448285885</v>
      </c>
      <c r="D31" s="17" t="n">
        <v>52.4074575592427</v>
      </c>
      <c r="E31" s="17" t="n">
        <v>345.433439012528</v>
      </c>
      <c r="F31" s="48" t="n">
        <f aca="false">C31*Capacity_Cost</f>
        <v>2387.04537943062</v>
      </c>
    </row>
    <row r="32" customFormat="false" ht="15" hidden="false" customHeight="false" outlineLevel="0" collapsed="false">
      <c r="B32" s="47" t="s">
        <v>192</v>
      </c>
      <c r="C32" s="17" t="n">
        <v>261.894564901114</v>
      </c>
      <c r="D32" s="17" t="n">
        <v>113.558131135525</v>
      </c>
      <c r="E32" s="17" t="n">
        <v>410.230998666703</v>
      </c>
      <c r="F32" s="48" t="n">
        <f aca="false">C32*Capacity_Cost</f>
        <v>3142.73477881337</v>
      </c>
    </row>
    <row r="33" customFormat="false" ht="15" hidden="false" customHeight="false" outlineLevel="0" collapsed="false">
      <c r="B33" s="47" t="s">
        <v>193</v>
      </c>
      <c r="C33" s="17" t="n">
        <v>254.102324499495</v>
      </c>
      <c r="D33" s="17" t="n">
        <v>103.96557069312</v>
      </c>
      <c r="E33" s="17" t="n">
        <v>404.239078305869</v>
      </c>
      <c r="F33" s="48" t="n">
        <f aca="false">C33*Capacity_Cost</f>
        <v>3049.22789399394</v>
      </c>
    </row>
    <row r="34" customFormat="false" ht="15" hidden="false" customHeight="false" outlineLevel="0" collapsed="false">
      <c r="B34" s="47" t="s">
        <v>194</v>
      </c>
      <c r="C34" s="17" t="n">
        <v>251.652688727215</v>
      </c>
      <c r="D34" s="17" t="n">
        <v>99.7371629255924</v>
      </c>
      <c r="E34" s="17" t="n">
        <v>403.568214528838</v>
      </c>
      <c r="F34" s="48" t="n">
        <f aca="false">C34*Capacity_Cost</f>
        <v>3019.83226472658</v>
      </c>
    </row>
    <row r="35" customFormat="false" ht="15" hidden="false" customHeight="false" outlineLevel="0" collapsed="false">
      <c r="B35" s="47" t="s">
        <v>195</v>
      </c>
      <c r="C35" s="17" t="n">
        <v>244.059475502756</v>
      </c>
      <c r="D35" s="17" t="n">
        <v>89.7094345931532</v>
      </c>
      <c r="E35" s="17" t="n">
        <v>398.409516412359</v>
      </c>
      <c r="F35" s="48" t="n">
        <f aca="false">C35*Capacity_Cost</f>
        <v>2928.71370603307</v>
      </c>
    </row>
    <row r="36" customFormat="false" ht="15" hidden="false" customHeight="false" outlineLevel="0" collapsed="false">
      <c r="B36" s="47" t="s">
        <v>196</v>
      </c>
      <c r="C36" s="17" t="n">
        <v>226.800487807315</v>
      </c>
      <c r="D36" s="17" t="n">
        <v>70.4721768412834</v>
      </c>
      <c r="E36" s="17" t="n">
        <v>383.128798773347</v>
      </c>
      <c r="F36" s="48" t="n">
        <f aca="false">C36*Capacity_Cost</f>
        <v>2721.60585368778</v>
      </c>
    </row>
    <row r="37" customFormat="false" ht="15" hidden="false" customHeight="false" outlineLevel="0" collapsed="false">
      <c r="B37" s="47" t="s">
        <v>197</v>
      </c>
      <c r="C37" s="17" t="n">
        <v>184.150022298708</v>
      </c>
      <c r="D37" s="17" t="n">
        <v>25.9553041032695</v>
      </c>
      <c r="E37" s="17" t="n">
        <v>342.344740494146</v>
      </c>
      <c r="F37" s="48" t="n">
        <f aca="false">C37*Capacity_Cost</f>
        <v>2209.80026758449</v>
      </c>
    </row>
    <row r="38" customFormat="false" ht="15" hidden="false" customHeight="false" outlineLevel="0" collapsed="false">
      <c r="B38" s="47" t="s">
        <v>198</v>
      </c>
      <c r="C38" s="17" t="n">
        <v>200.345749127733</v>
      </c>
      <c r="D38" s="17" t="n">
        <v>40.325405366426</v>
      </c>
      <c r="E38" s="17" t="n">
        <v>360.366092889039</v>
      </c>
      <c r="F38" s="48" t="n">
        <f aca="false">C38*Capacity_Cost</f>
        <v>2404.14898953279</v>
      </c>
    </row>
    <row r="39" customFormat="false" ht="15" hidden="false" customHeight="false" outlineLevel="0" collapsed="false">
      <c r="B39" s="47" t="s">
        <v>199</v>
      </c>
      <c r="C39" s="17" t="n">
        <v>263.319895979288</v>
      </c>
      <c r="D39" s="17" t="n">
        <v>101.498794858544</v>
      </c>
      <c r="E39" s="17" t="n">
        <v>425.140997100032</v>
      </c>
      <c r="F39" s="48" t="n">
        <f aca="false">C39*Capacity_Cost</f>
        <v>3159.83875175145</v>
      </c>
    </row>
    <row r="40" customFormat="false" ht="15" hidden="false" customHeight="false" outlineLevel="0" collapsed="false">
      <c r="B40" s="47" t="s">
        <v>200</v>
      </c>
      <c r="C40" s="17" t="n">
        <v>255.52766383245</v>
      </c>
      <c r="D40" s="17" t="n">
        <v>91.9265704048657</v>
      </c>
      <c r="E40" s="17" t="n">
        <v>419.128757260034</v>
      </c>
      <c r="F40" s="48" t="n">
        <f aca="false">C40*Capacity_Cost</f>
        <v>3066.3319659894</v>
      </c>
    </row>
    <row r="41" customFormat="false" ht="15" hidden="false" customHeight="false" outlineLevel="0" collapsed="false">
      <c r="B41" s="47" t="s">
        <v>201</v>
      </c>
      <c r="C41" s="17" t="n">
        <v>253.078146542545</v>
      </c>
      <c r="D41" s="17" t="n">
        <v>87.716424447881</v>
      </c>
      <c r="E41" s="17" t="n">
        <v>418.439868637209</v>
      </c>
      <c r="F41" s="48" t="n">
        <f aca="false">C41*Capacity_Cost</f>
        <v>3036.93775851054</v>
      </c>
    </row>
    <row r="42" customFormat="false" ht="15" hidden="false" customHeight="false" outlineLevel="0" collapsed="false">
      <c r="B42" s="47" t="s">
        <v>202</v>
      </c>
      <c r="C42" s="17" t="n">
        <v>245.484814334653</v>
      </c>
      <c r="D42" s="17" t="n">
        <v>77.7370342983499</v>
      </c>
      <c r="E42" s="17" t="n">
        <v>413.232594370956</v>
      </c>
      <c r="F42" s="48" t="n">
        <f aca="false">C42*Capacity_Cost</f>
        <v>2945.81777201584</v>
      </c>
    </row>
    <row r="43" customFormat="false" ht="15" hidden="false" customHeight="false" outlineLevel="0" collapsed="false">
      <c r="B43" s="47" t="s">
        <v>203</v>
      </c>
      <c r="C43" s="17" t="n">
        <v>228.225805236501</v>
      </c>
      <c r="D43" s="17" t="n">
        <v>58.5240663402244</v>
      </c>
      <c r="E43" s="17" t="n">
        <v>397.927544132778</v>
      </c>
      <c r="F43" s="48" t="n">
        <f aca="false">C43*Capacity_Cost</f>
        <v>2738.70966283801</v>
      </c>
    </row>
    <row r="44" customFormat="false" ht="15" hidden="false" customHeight="false" outlineLevel="0" collapsed="false">
      <c r="B44" s="47" t="s">
        <v>204</v>
      </c>
      <c r="C44" s="17" t="n">
        <v>185.575334628634</v>
      </c>
      <c r="D44" s="17" t="n">
        <v>14.0251393707224</v>
      </c>
      <c r="E44" s="17" t="n">
        <v>357.125529886545</v>
      </c>
      <c r="F44" s="48" t="n">
        <f aca="false">C44*Capacity_Cost</f>
        <v>2226.90401554361</v>
      </c>
    </row>
    <row r="45" customFormat="false" ht="15" hidden="false" customHeight="false" outlineLevel="0" collapsed="false">
      <c r="B45" s="47" t="s">
        <v>205</v>
      </c>
      <c r="C45" s="17" t="n">
        <v>201.771060739845</v>
      </c>
      <c r="D45" s="17" t="n">
        <v>28.4103124095296</v>
      </c>
      <c r="E45" s="17" t="n">
        <v>375.13180907016</v>
      </c>
      <c r="F45" s="48" t="n">
        <f aca="false">C45*Capacity_Cost</f>
        <v>2421.25272887814</v>
      </c>
    </row>
    <row r="46" customFormat="false" ht="15" hidden="false" customHeight="false" outlineLevel="0" collapsed="false">
      <c r="B46" s="47" t="s">
        <v>206</v>
      </c>
      <c r="C46" s="17" t="n">
        <v>264.745208787392</v>
      </c>
      <c r="D46" s="17" t="n">
        <v>89.5967193998448</v>
      </c>
      <c r="E46" s="17" t="n">
        <v>439.89369817494</v>
      </c>
      <c r="F46" s="48" t="n">
        <f aca="false">C46*Capacity_Cost</f>
        <v>3176.9425054487</v>
      </c>
    </row>
    <row r="47" customFormat="false" ht="15" hidden="false" customHeight="false" outlineLevel="0" collapsed="false">
      <c r="B47" s="47" t="s">
        <v>207</v>
      </c>
      <c r="C47" s="17" t="n">
        <v>256.95297696707</v>
      </c>
      <c r="D47" s="17" t="n">
        <v>80.0357295645609</v>
      </c>
      <c r="E47" s="17" t="n">
        <v>433.870224369579</v>
      </c>
      <c r="F47" s="48" t="n">
        <f aca="false">C47*Capacity_Cost</f>
        <v>3083.43572360484</v>
      </c>
    </row>
    <row r="48" customFormat="false" ht="15" hidden="false" customHeight="false" outlineLevel="0" collapsed="false">
      <c r="B48" s="47" t="s">
        <v>208</v>
      </c>
      <c r="C48" s="17" t="n">
        <v>254.503464363714</v>
      </c>
      <c r="D48" s="17" t="n">
        <v>75.8351647422973</v>
      </c>
      <c r="E48" s="17" t="n">
        <v>433.171763985131</v>
      </c>
      <c r="F48" s="48" t="n">
        <f aca="false">C48*Capacity_Cost</f>
        <v>3054.04157236457</v>
      </c>
    </row>
    <row r="49" customFormat="false" ht="15" hidden="false" customHeight="false" outlineLevel="0" collapsed="false">
      <c r="B49" s="47" t="s">
        <v>209</v>
      </c>
      <c r="C49" s="17" t="n">
        <v>246.910127449454</v>
      </c>
      <c r="D49" s="17" t="n">
        <v>65.8908771985054</v>
      </c>
      <c r="E49" s="17" t="n">
        <v>427.929377700403</v>
      </c>
      <c r="F49" s="48" t="n">
        <f aca="false">C49*Capacity_Cost</f>
        <v>2962.92152939345</v>
      </c>
    </row>
    <row r="50" customFormat="false" ht="15" hidden="false" customHeight="false" outlineLevel="0" collapsed="false">
      <c r="B50" s="47" t="s">
        <v>210</v>
      </c>
      <c r="C50" s="17" t="n">
        <v>229.651117504722</v>
      </c>
      <c r="D50" s="17" t="n">
        <v>46.6930344200051</v>
      </c>
      <c r="E50" s="17" t="n">
        <v>412.60920058944</v>
      </c>
      <c r="F50" s="48" t="n">
        <f aca="false">C50*Capacity_Cost</f>
        <v>2755.81341005667</v>
      </c>
    </row>
    <row r="51" customFormat="false" ht="15" hidden="false" customHeight="false" outlineLevel="0" collapsed="false">
      <c r="B51" s="47" t="s">
        <v>211</v>
      </c>
      <c r="C51" s="17" t="n">
        <v>187.000646695155</v>
      </c>
      <c r="D51" s="17" t="n">
        <v>2.20405225779331</v>
      </c>
      <c r="E51" s="17" t="n">
        <v>371.797241132516</v>
      </c>
      <c r="F51" s="48" t="n">
        <f aca="false">C51*Capacity_Cost</f>
        <v>2244.00776034186</v>
      </c>
    </row>
    <row r="52" customFormat="false" ht="15" hidden="false" customHeight="false" outlineLevel="0" collapsed="false">
      <c r="B52" s="47" t="s">
        <v>212</v>
      </c>
      <c r="C52" s="17" t="n">
        <v>203.196372777973</v>
      </c>
      <c r="D52" s="17" t="n">
        <v>16.5968840433781</v>
      </c>
      <c r="E52" s="17" t="n">
        <v>389.795861512567</v>
      </c>
      <c r="F52" s="48" t="n">
        <f aca="false">C52*Capacity_Cost</f>
        <v>2438.35647333567</v>
      </c>
    </row>
    <row r="53" customFormat="false" ht="15" hidden="false" customHeight="false" outlineLevel="0" collapsed="false">
      <c r="B53" s="47" t="s">
        <v>213</v>
      </c>
      <c r="C53" s="17" t="n">
        <v>266.170520872827</v>
      </c>
      <c r="D53" s="17" t="n">
        <v>77.7893391627684</v>
      </c>
      <c r="E53" s="17" t="n">
        <v>454.551702582886</v>
      </c>
      <c r="F53" s="48" t="n">
        <f aca="false">C53*Capacity_Cost</f>
        <v>3194.04625047393</v>
      </c>
    </row>
    <row r="54" customFormat="false" ht="15" hidden="false" customHeight="false" outlineLevel="0" collapsed="false">
      <c r="B54" s="47" t="s">
        <v>214</v>
      </c>
      <c r="C54" s="17" t="n">
        <v>258.378289065421</v>
      </c>
      <c r="D54" s="17" t="n">
        <v>68.2330050760543</v>
      </c>
      <c r="E54" s="17" t="n">
        <v>448.523573054787</v>
      </c>
      <c r="F54" s="48" t="n">
        <f aca="false">C54*Capacity_Cost</f>
        <v>3100.53946878505</v>
      </c>
    </row>
    <row r="55" customFormat="false" ht="15" hidden="false" customHeight="false" outlineLevel="0" collapsed="false">
      <c r="B55" s="47" t="s">
        <v>215</v>
      </c>
      <c r="C55" s="17" t="n">
        <v>255.92877664744</v>
      </c>
      <c r="D55" s="17" t="n">
        <v>64.0357971114475</v>
      </c>
      <c r="E55" s="17" t="n">
        <v>447.821756183432</v>
      </c>
      <c r="F55" s="48" t="n">
        <f aca="false">C55*Capacity_Cost</f>
        <v>3071.14531976928</v>
      </c>
    </row>
    <row r="56" customFormat="false" ht="15" hidden="false" customHeight="false" outlineLevel="0" collapsed="false">
      <c r="B56" s="47" t="s">
        <v>216</v>
      </c>
      <c r="C56" s="17" t="n">
        <v>248.335439547021</v>
      </c>
      <c r="D56" s="17" t="n">
        <v>54.1167921307439</v>
      </c>
      <c r="E56" s="17" t="n">
        <v>442.554086963298</v>
      </c>
      <c r="F56" s="48" t="n">
        <f aca="false">C56*Capacity_Cost</f>
        <v>2980.02527456425</v>
      </c>
    </row>
    <row r="57" customFormat="false" ht="15" hidden="false" customHeight="false" outlineLevel="0" collapsed="false">
      <c r="B57" s="47" t="s">
        <v>217</v>
      </c>
      <c r="C57" s="17" t="n">
        <v>231.076429568803</v>
      </c>
      <c r="D57" s="17" t="n">
        <v>34.9273197077738</v>
      </c>
      <c r="E57" s="17" t="n">
        <v>427.225539429832</v>
      </c>
      <c r="F57" s="48" t="n">
        <f aca="false">C57*Capacity_Cost</f>
        <v>2772.91715482563</v>
      </c>
    </row>
    <row r="58" customFormat="false" ht="15" hidden="false" customHeight="false" outlineLevel="0" collapsed="false">
      <c r="B58" s="47" t="s">
        <v>218</v>
      </c>
      <c r="C58" s="17" t="n">
        <v>188.425958751257</v>
      </c>
      <c r="D58" s="17" t="n">
        <v>-9.55761783533541</v>
      </c>
      <c r="E58" s="17" t="n">
        <v>386.409535337849</v>
      </c>
      <c r="F58" s="48" t="n">
        <f aca="false">C58*Capacity_Cost</f>
        <v>2261.11150501508</v>
      </c>
    </row>
    <row r="59" customFormat="false" ht="15" hidden="false" customHeight="false" outlineLevel="0" collapsed="false">
      <c r="B59" s="47" t="s">
        <v>219</v>
      </c>
      <c r="C59" s="17" t="n">
        <v>204.621684832951</v>
      </c>
      <c r="D59" s="17" t="n">
        <v>4.8373934427687</v>
      </c>
      <c r="E59" s="17" t="n">
        <v>404.405976223134</v>
      </c>
      <c r="F59" s="48" t="n">
        <f aca="false">C59*Capacity_Cost</f>
        <v>2455.46021799542</v>
      </c>
    </row>
    <row r="60" customFormat="false" ht="15" hidden="false" customHeight="false" outlineLevel="0" collapsed="false">
      <c r="B60" s="47" t="s">
        <v>220</v>
      </c>
      <c r="C60" s="17" t="n">
        <v>267.595832929678</v>
      </c>
      <c r="D60" s="17" t="n">
        <v>66.0307318838873</v>
      </c>
      <c r="E60" s="17" t="n">
        <v>469.160933975468</v>
      </c>
      <c r="F60" s="48" t="n">
        <f aca="false">C60*Capacity_Cost</f>
        <v>3211.14999515613</v>
      </c>
    </row>
    <row r="61" customFormat="false" ht="15" hidden="false" customHeight="false" outlineLevel="0" collapsed="false">
      <c r="B61" s="47" t="s">
        <v>221</v>
      </c>
      <c r="C61" s="17" t="n">
        <v>259.803601122782</v>
      </c>
      <c r="D61" s="17" t="n">
        <v>56.4741640985693</v>
      </c>
      <c r="E61" s="17" t="n">
        <v>463.133038146994</v>
      </c>
      <c r="F61" s="48" t="n">
        <f aca="false">C61*Capacity_Cost</f>
        <v>3117.64321347338</v>
      </c>
    </row>
    <row r="62" customFormat="false" ht="15" hidden="false" customHeight="false" outlineLevel="0" collapsed="false">
      <c r="B62" s="47" t="s">
        <v>222</v>
      </c>
      <c r="C62" s="17" t="n">
        <v>257.354088712134</v>
      </c>
      <c r="D62" s="17" t="n">
        <v>52.27567801072</v>
      </c>
      <c r="E62" s="17" t="n">
        <v>462.432499413547</v>
      </c>
      <c r="F62" s="48" t="n">
        <f aca="false">C62*Capacity_Cost</f>
        <v>3088.2490645456</v>
      </c>
    </row>
    <row r="63" customFormat="false" ht="15" hidden="false" customHeight="false" outlineLevel="0" collapsed="false">
      <c r="B63" s="47" t="s">
        <v>223</v>
      </c>
      <c r="C63" s="17" t="n">
        <v>249.760751604351</v>
      </c>
      <c r="D63" s="17" t="n">
        <v>42.3745129284073</v>
      </c>
      <c r="E63" s="17" t="n">
        <v>457.146990280295</v>
      </c>
      <c r="F63" s="48" t="n">
        <f aca="false">C63*Capacity_Cost</f>
        <v>2997.12901925221</v>
      </c>
    </row>
    <row r="64" customFormat="false" ht="15" hidden="false" customHeight="false" outlineLevel="0" collapsed="false">
      <c r="B64" s="47" t="s">
        <v>224</v>
      </c>
      <c r="C64" s="17" t="n">
        <v>232.501741624808</v>
      </c>
      <c r="D64" s="17" t="n">
        <v>23.1883123457091</v>
      </c>
      <c r="E64" s="17" t="n">
        <v>441.815170903907</v>
      </c>
      <c r="F64" s="48" t="n">
        <f aca="false">C64*Capacity_Cost</f>
        <v>2790.0208994977</v>
      </c>
    </row>
    <row r="65" customFormat="false" ht="15" hidden="false" customHeight="false" outlineLevel="0" collapsed="false">
      <c r="B65" s="47" t="s">
        <v>225</v>
      </c>
      <c r="C65" s="17" t="n">
        <v>189.851270806947</v>
      </c>
      <c r="D65" s="17" t="n">
        <v>-21.2970358902915</v>
      </c>
      <c r="E65" s="17" t="n">
        <v>400.999577504185</v>
      </c>
      <c r="F65" s="48" t="n">
        <f aca="false">C65*Capacity_Cost</f>
        <v>2278.21524968336</v>
      </c>
    </row>
    <row r="66" customFormat="false" ht="15" hidden="false" customHeight="false" outlineLevel="0" collapsed="false">
      <c r="B66" s="47" t="s">
        <v>226</v>
      </c>
      <c r="C66" s="17" t="n">
        <v>206.046996888597</v>
      </c>
      <c r="D66" s="17" t="n">
        <v>-6.90398999201986</v>
      </c>
      <c r="E66" s="17" t="n">
        <v>418.997983769214</v>
      </c>
      <c r="F66" s="48" t="n">
        <f aca="false">C66*Capacity_Cost</f>
        <v>2472.56396266316</v>
      </c>
    </row>
    <row r="67" customFormat="false" ht="15" hidden="false" customHeight="false" outlineLevel="0" collapsed="false">
      <c r="B67" s="25" t="s">
        <v>227</v>
      </c>
      <c r="C67" s="26" t="n">
        <f aca="false">SUM(C7:C66)</f>
        <v>13838.9899939813</v>
      </c>
      <c r="F67" s="49" t="n">
        <f aca="false">SUM(F7:F66)</f>
        <v>166067.879927775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22"/>
  </cols>
  <sheetData>
    <row r="2" customFormat="false" ht="30" hidden="false" customHeight="true" outlineLevel="0" collapsed="false">
      <c r="B2" s="7" t="s">
        <v>228</v>
      </c>
      <c r="C2" s="7"/>
      <c r="D2" s="7"/>
      <c r="E2" s="7"/>
      <c r="F2" s="7"/>
    </row>
    <row r="4" customFormat="false" ht="15" hidden="false" customHeight="false" outlineLevel="0" collapsed="false">
      <c r="B4" s="9" t="s">
        <v>229</v>
      </c>
      <c r="C4" s="9" t="s">
        <v>147</v>
      </c>
      <c r="D4" s="9" t="s">
        <v>148</v>
      </c>
      <c r="E4" s="9" t="s">
        <v>149</v>
      </c>
      <c r="F4" s="9" t="s">
        <v>150</v>
      </c>
    </row>
    <row r="5" customFormat="false" ht="15" hidden="false" customHeight="false" outlineLevel="0" collapsed="false">
      <c r="B5" s="13" t="s">
        <v>230</v>
      </c>
      <c r="C5" s="42" t="n">
        <f aca="false">Margin_Loss!H13</f>
        <v>230214</v>
      </c>
      <c r="D5" s="48" t="n">
        <f aca="false">Margin_Loss!H13*(1-Seller_Intervention_Reduction)</f>
        <v>115107</v>
      </c>
      <c r="E5" s="48" t="n">
        <f aca="false">Margin_Loss!H13*0.2</f>
        <v>46042.8</v>
      </c>
      <c r="F5" s="48" t="n">
        <f aca="false">Margin_Loss!H13*0.1</f>
        <v>23021.4</v>
      </c>
    </row>
    <row r="6" customFormat="false" ht="15" hidden="false" customHeight="false" outlineLevel="0" collapsed="false">
      <c r="B6" s="13" t="s">
        <v>153</v>
      </c>
      <c r="C6" s="41" t="n">
        <v>0</v>
      </c>
      <c r="D6" s="42" t="n">
        <f aca="false">20*Seller_Intervention_Cost</f>
        <v>10000</v>
      </c>
      <c r="E6" s="41" t="n">
        <v>0</v>
      </c>
      <c r="F6" s="42" t="n">
        <f aca="false">20*Seller_Intervention_Cost</f>
        <v>10000</v>
      </c>
    </row>
    <row r="7" customFormat="false" ht="15" hidden="false" customHeight="false" outlineLevel="0" collapsed="false">
      <c r="B7" s="25" t="s">
        <v>231</v>
      </c>
      <c r="C7" s="49" t="n">
        <f aca="false">C5+C6</f>
        <v>230214</v>
      </c>
      <c r="D7" s="49" t="n">
        <f aca="false">D5+D6</f>
        <v>125107</v>
      </c>
      <c r="E7" s="49" t="n">
        <f aca="false">E5+E6</f>
        <v>46042.8</v>
      </c>
      <c r="F7" s="49" t="n">
        <f aca="false">F5+F6</f>
        <v>33021.4</v>
      </c>
    </row>
    <row r="8" customFormat="false" ht="15" hidden="false" customHeight="false" outlineLevel="0" collapsed="false">
      <c r="B8" s="20" t="s">
        <v>232</v>
      </c>
      <c r="C8" s="50" t="n">
        <v>0</v>
      </c>
      <c r="D8" s="51" t="n">
        <f aca="false">$C$7-D7</f>
        <v>105107</v>
      </c>
      <c r="E8" s="51" t="n">
        <f aca="false">$C$7-E7</f>
        <v>184171.2</v>
      </c>
      <c r="F8" s="51" t="n">
        <f aca="false">$C$7-F7</f>
        <v>197192.6</v>
      </c>
    </row>
    <row r="11" customFormat="false" ht="21.75" hidden="false" customHeight="true" outlineLevel="0" collapsed="false">
      <c r="B11" s="3" t="s">
        <v>233</v>
      </c>
      <c r="C11" s="3"/>
      <c r="D11" s="3"/>
      <c r="E11" s="3"/>
      <c r="F11" s="3"/>
    </row>
    <row r="12" customFormat="false" ht="60" hidden="false" customHeight="true" outlineLevel="0" collapsed="false">
      <c r="B12" s="20" t="s">
        <v>234</v>
      </c>
      <c r="C12" s="4" t="s">
        <v>235</v>
      </c>
      <c r="D12" s="4"/>
      <c r="E12" s="4"/>
      <c r="F12" s="4"/>
    </row>
    <row r="13" customFormat="false" ht="60" hidden="false" customHeight="true" outlineLevel="0" collapsed="false">
      <c r="B13" s="20" t="s">
        <v>236</v>
      </c>
      <c r="C13" s="4" t="s">
        <v>237</v>
      </c>
      <c r="D13" s="4"/>
      <c r="E13" s="4"/>
      <c r="F13" s="4"/>
    </row>
    <row r="14" customFormat="false" ht="60" hidden="false" customHeight="true" outlineLevel="0" collapsed="false">
      <c r="B14" s="20" t="s">
        <v>238</v>
      </c>
      <c r="C14" s="4" t="s">
        <v>239</v>
      </c>
      <c r="D14" s="4"/>
      <c r="E14" s="4"/>
      <c r="F14" s="4"/>
    </row>
    <row r="15" customFormat="false" ht="60" hidden="false" customHeight="true" outlineLevel="0" collapsed="false">
      <c r="B15" s="20" t="s">
        <v>240</v>
      </c>
      <c r="C15" s="4" t="s">
        <v>241</v>
      </c>
      <c r="D15" s="4"/>
      <c r="E15" s="4"/>
      <c r="F15" s="4"/>
    </row>
    <row r="16" customFormat="false" ht="60" hidden="false" customHeight="true" outlineLevel="0" collapsed="false">
      <c r="B16" s="20" t="s">
        <v>242</v>
      </c>
      <c r="C16" s="4" t="s">
        <v>243</v>
      </c>
      <c r="D16" s="4"/>
      <c r="E16" s="4"/>
      <c r="F16" s="4"/>
    </row>
  </sheetData>
  <mergeCells count="7">
    <mergeCell ref="B2:F2"/>
    <mergeCell ref="B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2026-05-07T06:58:12Z</dcterms:created>
  <dc:creator>openpyxl</dc:creator>
  <dc:description/>
  <dc:language>en-US</dc:language>
  <cp:lastModifiedBy/>
  <dcterms:modified xsi:type="dcterms:W3CDTF">2026-05-07T06:58:12Z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