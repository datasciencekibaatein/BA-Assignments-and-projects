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CAPM_MM" sheetId="3" state="visible" r:id="rId5"/>
    <sheet name="NPV_Heatmap" sheetId="4" state="visible" r:id="rId6"/>
    <sheet name="Sensitivity_Grid" sheetId="5" state="visible" r:id="rId7"/>
    <sheet name="Black_Scholes" sheetId="6" state="visible" r:id="rId8"/>
    <sheet name="CashFlow_Indirect" sheetId="7" state="visible" r:id="rId9"/>
    <sheet name="MC_Summary" sheetId="8" state="visible" r:id="rId10"/>
    <sheet name="Recommendation" sheetId="9" state="visible" r:id="rId11"/>
  </sheets>
  <definedNames>
    <definedName function="false" hidden="false" name="BaseBrent" vbProcedure="false">Inputs!$C$22</definedName>
    <definedName function="false" hidden="false" name="Beta_U" vbProcedure="false">Inputs!$C$8</definedName>
    <definedName function="false" hidden="false" name="CapEx" vbProcedure="false">Inputs!$C$11</definedName>
    <definedName function="false" hidden="false" name="ExpandCapEx" vbProcedure="false">Inputs!$C$17</definedName>
    <definedName function="false" hidden="false" name="ExtractCost" vbProcedure="false">Inputs!$C$13</definedName>
    <definedName function="false" hidden="false" name="FixedOpEx" vbProcedure="false">Inputs!$C$14</definedName>
    <definedName function="false" hidden="false" name="Horizon" vbProcedure="false">Inputs!$C$15</definedName>
    <definedName function="false" hidden="false" name="MRP" vbProcedure="false">Inputs!$C$7</definedName>
    <definedName function="false" hidden="false" name="Production" vbProcedure="false">Inputs!$C$12</definedName>
    <definedName function="false" hidden="false" name="RD_Base" vbProcedure="false">Inputs!$C$10</definedName>
    <definedName function="false" hidden="false" name="RF" vbProcedure="false">Inputs!$C$6</definedName>
    <definedName function="false" hidden="false" name="Salvage" vbProcedure="false">Inputs!$C$16</definedName>
    <definedName function="false" hidden="false" name="Sigma_Brent" vbProcedure="false">Inputs!$C$20</definedName>
    <definedName function="false" hidden="false" name="Sigma_Project" vbProcedure="false">Inputs!$C$21</definedName>
    <definedName function="false" hidden="false" name="Tax_Rate" vbProcedure="false">Inputs!$C$9</definedName>
    <definedName function="false" hidden="false" name="T_Abandon" vbProcedure="false">Inputs!$C$18</definedName>
    <definedName function="false" hidden="false" name="T_Expand" vbProcedure="false">Inputs!$C$19</definedName>
    <definedName function="false" hidden="false" name="WACC_Opt" vbProcedure="false">Inputs!$C$23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<sst xmlns="http://schemas.openxmlformats.org/spreadsheetml/2006/main" count="309" uniqueCount="247">
  <si>
    <t xml:space="preserve">RISK-ADJUSTED FINANCIAL REPORT</t>
  </si>
  <si>
    <t xml:space="preserve">EnergyCo Black Swan Audit — Capital Structure Stress Test</t>
  </si>
  <si>
    <t xml:space="preserve">Headline Findings</t>
  </si>
  <si>
    <t xml:space="preserve">Optimal Capital Structure (D/V)</t>
  </si>
  <si>
    <t xml:space="preserve">30-35% (≈optimal)</t>
  </si>
  <si>
    <t xml:space="preserve">WACC at optimum</t>
  </si>
  <si>
    <t xml:space="preserve">9.34%</t>
  </si>
  <si>
    <t xml:space="preserve">Median project NPV</t>
  </si>
  <si>
    <t xml:space="preserve">$193.8M</t>
  </si>
  <si>
    <t xml:space="preserve">P5 NPV (Black Swan downside)</t>
  </si>
  <si>
    <t xml:space="preserve">-$161.5M</t>
  </si>
  <si>
    <t xml:space="preserve">P95 NPV (upside)</t>
  </si>
  <si>
    <t xml:space="preserve">$906.6M</t>
  </si>
  <si>
    <t xml:space="preserve">Probability of Loss</t>
  </si>
  <si>
    <t xml:space="preserve">21.65%</t>
  </si>
  <si>
    <t xml:space="preserve">CVaR(5%)</t>
  </si>
  <si>
    <t xml:space="preserve">-$221.2M</t>
  </si>
  <si>
    <t xml:space="preserve">Real Options Total (median)</t>
  </si>
  <si>
    <t xml:space="preserve">$125.3M (83.5% of CapEx)</t>
  </si>
  <si>
    <t xml:space="preserve">Brent annualized volatility</t>
  </si>
  <si>
    <t xml:space="preserve">40.53%</t>
  </si>
  <si>
    <t xml:space="preserve">GARCH-t persistence</t>
  </si>
  <si>
    <t xml:space="preserve">0.9930 (highly persistent)</t>
  </si>
  <si>
    <t xml:space="preserve">Real Brent &gt;3σ events / Gaussian</t>
  </si>
  <si>
    <t xml:space="preserve">4.07x (true fat tails)</t>
  </si>
  <si>
    <t xml:space="preserve">Viable cells in 2D stress grid</t>
  </si>
  <si>
    <t xml:space="preserve">66 / 121 (54.5%)</t>
  </si>
  <si>
    <t xml:space="preserve">Sheet Map</t>
  </si>
  <si>
    <t xml:space="preserve">Inputs</t>
  </si>
  <si>
    <t xml:space="preserve">Named ranges: CAPM/MM params, project params, real options</t>
  </si>
  <si>
    <t xml:space="preserve">CAPM_MM</t>
  </si>
  <si>
    <t xml:space="preserve">D/V sweep 0-80% with WACC + cost of equity/debt formulas</t>
  </si>
  <si>
    <t xml:space="preserve">NPV_Heatmap</t>
  </si>
  <si>
    <t xml:space="preserve">2D NPV grid: Brent ($30-$90) x WACC (7-13%) with breakeven</t>
  </si>
  <si>
    <t xml:space="preserve">Sensitivity_Grid</t>
  </si>
  <si>
    <t xml:space="preserve">2D viability frontier: rate hikes x Brent shocks</t>
  </si>
  <si>
    <t xml:space="preserve">Black_Scholes</t>
  </si>
  <si>
    <t xml:space="preserve">Real options calculator (abandon put + expand call) live formulas</t>
  </si>
  <si>
    <t xml:space="preserve">CashFlow_Indirect</t>
  </si>
  <si>
    <t xml:space="preserve">10-year pro forma in indirect method (P5/P50/P95)</t>
  </si>
  <si>
    <t xml:space="preserve">MC_Summary</t>
  </si>
  <si>
    <t xml:space="preserve">Monte Carlo distribution snapshot (P5/25/50/75/95, CVaR)</t>
  </si>
  <si>
    <t xml:space="preserve">Recommendation</t>
  </si>
  <si>
    <t xml:space="preserve">Pyramid summary</t>
  </si>
  <si>
    <t xml:space="preserve">Honest call-outs</t>
  </si>
  <si>
    <t xml:space="preserve">  - EnergyCo synthetic anchor; Brent prices, GARCH vol, and risk metrics are real</t>
  </si>
  <si>
    <t xml:space="preserve">  - Black-Scholes uses European approximation; American option values are bounded above</t>
  </si>
  <si>
    <t xml:space="preserve">  - sigma_project = sigma_Brent x 0.85 (project value is &gt;revenue alone)</t>
  </si>
  <si>
    <t xml:space="preserve">  - Schwartz mean-reverting; alternatives (GBM, jump-diffusion) would give different tails</t>
  </si>
  <si>
    <t xml:space="preserve">  - Viability contour is for $60/bbl baseline; $80 baseline shifts contour right</t>
  </si>
  <si>
    <t xml:space="preserve">GLOBAL INPUTS</t>
  </si>
  <si>
    <t xml:space="preserve">Adjust these values to recalculate the entire workbook.</t>
  </si>
  <si>
    <t xml:space="preserve">Parameter</t>
  </si>
  <si>
    <t xml:space="preserve">Value</t>
  </si>
  <si>
    <t xml:space="preserve">Notes</t>
  </si>
  <si>
    <t xml:space="preserve">Risk-free rate (10-yr Treasury)</t>
  </si>
  <si>
    <t xml:space="preserve">4.5% benchmark</t>
  </si>
  <si>
    <t xml:space="preserve">Market risk premium</t>
  </si>
  <si>
    <t xml:space="preserve">5.5% standard</t>
  </si>
  <si>
    <t xml:space="preserve">Unlevered equity beta</t>
  </si>
  <si>
    <t xml:space="preserve">Damodaran mid-cap energy</t>
  </si>
  <si>
    <t xml:space="preserve">Corporate tax rate</t>
  </si>
  <si>
    <t xml:space="preserve">21% US corporate</t>
  </si>
  <si>
    <t xml:space="preserve">Cost of debt (BBB-ish)</t>
  </si>
  <si>
    <t xml:space="preserve">BBB credit spread baseline</t>
  </si>
  <si>
    <t xml:space="preserve">Project CapEx ($)</t>
  </si>
  <si>
    <t xml:space="preserve">Offshore drilling project</t>
  </si>
  <si>
    <t xml:space="preserve">Production (bbl/day)</t>
  </si>
  <si>
    <t xml:space="preserve">Project nameplate capacity</t>
  </si>
  <si>
    <t xml:space="preserve">Extraction cost ($/bbl)</t>
  </si>
  <si>
    <t xml:space="preserve">Marginal cost</t>
  </si>
  <si>
    <t xml:space="preserve">Fixed OpEx ($/yr)</t>
  </si>
  <si>
    <t xml:space="preserve">Annual operating expenses</t>
  </si>
  <si>
    <t xml:space="preserve">Project horizon (years)</t>
  </si>
  <si>
    <t xml:space="preserve">Standard E&amp;P horizon</t>
  </si>
  <si>
    <t xml:space="preserve">Salvage value ($) — abandon strike</t>
  </si>
  <si>
    <t xml:space="preserve">After Year 3</t>
  </si>
  <si>
    <t xml:space="preserve">Expand CapEx ($) — expand strike</t>
  </si>
  <si>
    <t xml:space="preserve">After Year 5</t>
  </si>
  <si>
    <t xml:space="preserve">Abandon option maturity (yr)</t>
  </si>
  <si>
    <t xml:space="preserve">Decision date</t>
  </si>
  <si>
    <t xml:space="preserve">Expand option maturity (yr)</t>
  </si>
  <si>
    <t xml:space="preserve">Annualized Brent volatility</t>
  </si>
  <si>
    <t xml:space="preserve">From real Brent data</t>
  </si>
  <si>
    <t xml:space="preserve">Project value volatility</t>
  </si>
  <si>
    <t xml:space="preserve">Sigma_Brent * 0.85 (dampening)</t>
  </si>
  <si>
    <t xml:space="preserve">Baseline Brent ($/bbl)</t>
  </si>
  <si>
    <t xml:space="preserve">Sensitivity grid baseline</t>
  </si>
  <si>
    <t xml:space="preserve">WACC at MM optimum</t>
  </si>
  <si>
    <t xml:space="preserve">Computed (CAPM_MM sheet)</t>
  </si>
  <si>
    <t xml:space="preserve">CAPITAL STRUCTURE OPTIMIZATION (Modigliani-Miller with taxes)</t>
  </si>
  <si>
    <t xml:space="preserve">D/V swept 0%-80% in 5% increments. Beta re-levered via Hamada.  WACC formulas live.</t>
  </si>
  <si>
    <t xml:space="preserve">D/V</t>
  </si>
  <si>
    <t xml:space="preserve">D/E</t>
  </si>
  <si>
    <t xml:space="preserve">Beta_levered</t>
  </si>
  <si>
    <t xml:space="preserve">rE (CAPM)</t>
  </si>
  <si>
    <t xml:space="preserve">rD (with credit spread)</t>
  </si>
  <si>
    <t xml:space="preserve">WACC</t>
  </si>
  <si>
    <t xml:space="preserve">Status</t>
  </si>
  <si>
    <t xml:space="preserve">OPTIMAL</t>
  </si>
  <si>
    <t xml:space="preserve">Min WACC (=optimal)</t>
  </si>
  <si>
    <t xml:space="preserve">Optimal D/V (lookup)</t>
  </si>
  <si>
    <t xml:space="preserve">PROBABILITY-BASED NPV HEATMAP</t>
  </si>
  <si>
    <t xml:space="preserve">NPV ($M) over (Brent price x WACC) plane. Black contour = breakeven (NPV=0).</t>
  </si>
  <si>
    <t xml:space="preserve">WACC v / Brent &gt;</t>
  </si>
  <si>
    <t xml:space="preserve">Reading the heatmap:</t>
  </si>
  <si>
    <t xml:space="preserve">  - Each cell = NPV ($M) using deterministic Brent (col header) and WACC (row header)</t>
  </si>
  <si>
    <t xml:space="preserve">  - Green = positive NPV, red = negative. Breakeven runs roughly along Brent ~$50-55 at WACC=9.35%</t>
  </si>
  <si>
    <t xml:space="preserve">  - For probability-weighted NPV, see MC_Summary sheet (10K simulated paths)</t>
  </si>
  <si>
    <t xml:space="preserve">  - Number format: $/M (divide by 1,000,000 for raw dollars)</t>
  </si>
  <si>
    <t xml:space="preserve">2D SENSITIVITY GRID (rate hike x Brent shock) — Viability Frontier</t>
  </si>
  <si>
    <t xml:space="preserve">NPV ($M) under combined rate-hike and Brent-shock scenarios.  Used to find viability frontier.</t>
  </si>
  <si>
    <t xml:space="preserve">Hike v / Shock &gt;</t>
  </si>
  <si>
    <t xml:space="preserve">Grid summary:</t>
  </si>
  <si>
    <t xml:space="preserve">Cells with NPV &gt; 0:</t>
  </si>
  <si>
    <t xml:space="preserve">Total cells:</t>
  </si>
  <si>
    <t xml:space="preserve">Viability rate:</t>
  </si>
  <si>
    <t xml:space="preserve">BLACK-SCHOLES REAL OPTIONS CALCULATOR</t>
  </si>
  <si>
    <t xml:space="preserve">Two real options: abandon (American put) and expand (American call) on project value.</t>
  </si>
  <si>
    <t xml:space="preserve">Scenario</t>
  </si>
  <si>
    <t xml:space="preserve">V0 (gross PV $M)</t>
  </si>
  <si>
    <t xml:space="preserve">P5 Black Swan</t>
  </si>
  <si>
    <t xml:space="preserve">Worst case (NPV negative)</t>
  </si>
  <si>
    <t xml:space="preserve">P25 Stress</t>
  </si>
  <si>
    <t xml:space="preserve">Stress test</t>
  </si>
  <si>
    <t xml:space="preserve">P50 Median</t>
  </si>
  <si>
    <t xml:space="preserve">Central case</t>
  </si>
  <si>
    <t xml:space="preserve">Mean</t>
  </si>
  <si>
    <t xml:space="preserve">MC mean</t>
  </si>
  <si>
    <t xml:space="preserve">Active scenario row:</t>
  </si>
  <si>
    <t xml:space="preserve">1=P5, 2=P25, 3=P50, 4=Mean</t>
  </si>
  <si>
    <t xml:space="preserve">Active V0 ($M):</t>
  </si>
  <si>
    <t xml:space="preserve">BLACK-SCHOLES INPUTS</t>
  </si>
  <si>
    <t xml:space="preserve">V0 ($M) — project gross PV (S)</t>
  </si>
  <si>
    <t xml:space="preserve">Sigma (project, annualized)</t>
  </si>
  <si>
    <t xml:space="preserve">Risk-free rate</t>
  </si>
  <si>
    <t xml:space="preserve">ABANDON PUT (Year 3, K=$40M salvage)</t>
  </si>
  <si>
    <t xml:space="preserve">K ($M)</t>
  </si>
  <si>
    <t xml:space="preserve">T (yrs)</t>
  </si>
  <si>
    <t xml:space="preserve">d1</t>
  </si>
  <si>
    <t xml:space="preserve">d2</t>
  </si>
  <si>
    <t xml:space="preserve">Abandon Put value ($M)</t>
  </si>
  <si>
    <t xml:space="preserve">EXPAND CALL (Year 5, K=$60M expansion CapEx, V_exp = 0.5*V0)</t>
  </si>
  <si>
    <t xml:space="preserve">V_exp ($M) = 0.5*V0</t>
  </si>
  <si>
    <t xml:space="preserve">Expand Call value ($M)</t>
  </si>
  <si>
    <t xml:space="preserve">TOTAL REAL OPTIONS VALUE ($M)</t>
  </si>
  <si>
    <t xml:space="preserve">As % of CapEx ($150M)</t>
  </si>
  <si>
    <t xml:space="preserve">CASH FLOW FORECAST (Indirect Method) — 10-year pro forma</t>
  </si>
  <si>
    <t xml:space="preserve">Three scenarios (P5 / P50 / P95) using simulated annual Brent prices.  Indirect: NI -&gt; +D&amp;A -&gt; WC chg -&gt; FCF.</t>
  </si>
  <si>
    <t xml:space="preserve">SCENARIO: P5 (stress)</t>
  </si>
  <si>
    <t xml:space="preserve">Line ($M)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</si>
  <si>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</si>
  <si>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</si>
  <si>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</si>
  <si>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</si>
  <si>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</si>
  <si>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Yr6</t>
  </si>
  <si>
    <t xml:space="preserve">Yr7</t>
  </si>
  <si>
    <t xml:space="preserve">Yr8</t>
  </si>
  <si>
    <t xml:space="preserve">Yr9</t>
  </si>
  <si>
    <t xml:space="preserve">Yr10</t>
  </si>
  <si>
    <t xml:space="preserve">Total</t>
  </si>
  <si>
    <t xml:space="preserve">Brent ($/bbl)</t>
  </si>
  <si>
    <t xml:space="preserve">Revenue</t>
  </si>
  <si>
    <t xml:space="preserve">COGS (extraction)</t>
  </si>
  <si>
    <t xml:space="preserve">OpEx (fixed)</t>
  </si>
  <si>
    <t xml:space="preserve">EBITDA</t>
  </si>
  <si>
    <t xml:space="preserve">D&amp;A</t>
  </si>
  <si>
    <t xml:space="preserve">EBIT</t>
  </si>
  <si>
    <t xml:space="preserve">Tax (-)</t>
  </si>
  <si>
    <t xml:space="preserve">Net Income</t>
  </si>
  <si>
    <t xml:space="preserve">+ D&amp;A (add back)</t>
  </si>
  <si>
    <t xml:space="preserve">+/- WC change</t>
  </si>
  <si>
    <t xml:space="preserve">FCF</t>
  </si>
  <si>
    <t xml:space="preserve">PV of FCF (@WACC_Opt)</t>
  </si>
  <si>
    <t xml:space="preserve">NPV ($M) = PV - CapEx</t>
  </si>
  <si>
    <t xml:space="preserve">SCENARIO: P50 (base)</t>
  </si>
  <si>
    <t xml:space="preserve">SCENARIO: P95 (upside)</t>
  </si>
  <si>
    <t xml:space="preserve">MONTE CARLO RESULTS SUMMARY (10,000 paths)</t>
  </si>
  <si>
    <t xml:space="preserve">Snapshot from external Monte Carlo (Schwartz mean-reverting + Student-t innovations).</t>
  </si>
  <si>
    <t xml:space="preserve">Metric</t>
  </si>
  <si>
    <t xml:space="preserve">Number of paths</t>
  </si>
  <si>
    <t xml:space="preserve">10,000</t>
  </si>
  <si>
    <t xml:space="preserve">Path length (months)</t>
  </si>
  <si>
    <t xml:space="preserve">120</t>
  </si>
  <si>
    <t xml:space="preserve">Brent path mean ($/bbl)</t>
  </si>
  <si>
    <t xml:space="preserve">$56.7</t>
  </si>
  <si>
    <t xml:space="preserve">NPV mean ($M)</t>
  </si>
  <si>
    <t xml:space="preserve">$259.7</t>
  </si>
  <si>
    <t xml:space="preserve">NPV P5 ($M)</t>
  </si>
  <si>
    <t xml:space="preserve">-$161.5</t>
  </si>
  <si>
    <t xml:space="preserve">NPV P25 ($M)</t>
  </si>
  <si>
    <t xml:space="preserve">$23.4</t>
  </si>
  <si>
    <t xml:space="preserve">NPV P50 (median, $M)</t>
  </si>
  <si>
    <t xml:space="preserve">$193.8</t>
  </si>
  <si>
    <t xml:space="preserve">NPV P75 ($M)</t>
  </si>
  <si>
    <t xml:space="preserve">$422.4</t>
  </si>
  <si>
    <t xml:space="preserve">NPV P95 ($M)</t>
  </si>
  <si>
    <t xml:space="preserve">$906.6</t>
  </si>
  <si>
    <t xml:space="preserve">P(NPV&lt;0)</t>
  </si>
  <si>
    <t xml:space="preserve">P(NPV&lt;-$50M severe)</t>
  </si>
  <si>
    <t xml:space="preserve">15.25%</t>
  </si>
  <si>
    <t xml:space="preserve">CVaR(5%) ($M)</t>
  </si>
  <si>
    <t xml:space="preserve">-$221.2</t>
  </si>
  <si>
    <t xml:space="preserve">GARCH alpha + beta</t>
  </si>
  <si>
    <t xml:space="preserve">GARCH-t nu (df)</t>
  </si>
  <si>
    <t xml:space="preserve">5.87 (fat tails)</t>
  </si>
  <si>
    <t xml:space="preserve">Sim &gt;3 sigma frequency</t>
  </si>
  <si>
    <t xml:space="preserve">1.06% (vs 0.27% Gaussian; 3.91x)</t>
  </si>
  <si>
    <t xml:space="preserve">Real Brent &gt;3 sigma freq</t>
  </si>
  <si>
    <t xml:space="preserve">1.10% (vs 0.27% Gaussian; 4.07x)</t>
  </si>
  <si>
    <t xml:space="preserve">RISK-ADJUSTED RECOMMENDATION (Pyramid)</t>
  </si>
  <si>
    <t xml:space="preserve">TOP RECOMMENDATION</t>
  </si>
  <si>
    <t xml:space="preserve">APPROVE the project at D/V = 30%, but ONLY with abandon option contractually written into the project agreement.</t>
  </si>
  <si>
    <t xml:space="preserve">CAPITAL STRUCTURE</t>
  </si>
  <si>
    <t xml:space="preserve">Optimal D/V = 30% with WACC = 9.35% (vs 100% equity WACC = 10.23%, 50% debt WACC = 11.42%). Tax shield + credit spread balance optimized.</t>
  </si>
  <si>
    <t xml:space="preserve">NPV DISTRIBUTION</t>
  </si>
  <si>
    <t xml:space="preserve">Median NPV = +$193.8M (positive expected value), P5 = -$161.5M (Black Swan downside), P95 = +$906.6M (upside). P(loss) = 21.65%.</t>
  </si>
  <si>
    <t xml:space="preserve">REAL OPTIONS HEDGE</t>
  </si>
  <si>
    <t xml:space="preserve">Total option value = $125.3M (84% of CapEx). Abandon put protects against P5 loss; expand call captures upside if Brent &gt; $90/bbl in Year 5+. Asymmetric collar.</t>
  </si>
  <si>
    <t xml:space="preserve">Risk-Adjusted Approval Conditions</t>
  </si>
  <si>
    <t xml:space="preserve">Condition</t>
  </si>
  <si>
    <t xml:space="preserve">Why</t>
  </si>
  <si>
    <t xml:space="preserve">Trigger</t>
  </si>
  <si>
    <t xml:space="preserve">D/V = 30% capital mix</t>
  </si>
  <si>
    <t xml:space="preserve">WACC minimum from MM-with-taxes</t>
  </si>
  <si>
    <t xml:space="preserve">At project inception</t>
  </si>
  <si>
    <t xml:space="preserve">Abandon option (Year 3 put)</t>
  </si>
  <si>
    <t xml:space="preserve">Hedges P5 Black Swan loss</t>
  </si>
  <si>
    <t xml:space="preserve">If NPV-to-go &lt; $40M salvage</t>
  </si>
  <si>
    <t xml:space="preserve">Expand option (Year 5 call)</t>
  </si>
  <si>
    <t xml:space="preserve">Captures upside if Brent breaks $90</t>
  </si>
  <si>
    <t xml:space="preserve">If Brent &gt; $90/bbl sustained</t>
  </si>
  <si>
    <t xml:space="preserve">Quarterly Brent vol monitor</t>
  </si>
  <si>
    <t xml:space="preserve">GARCH persistence = 0.9930 = regime risk</t>
  </si>
  <si>
    <t xml:space="preserve">If Brent vol &gt; 50% annualized</t>
  </si>
  <si>
    <t xml:space="preserve">Annual stress test refresh</t>
  </si>
  <si>
    <t xml:space="preserve">Re-run 10K MC with current Brent</t>
  </si>
  <si>
    <t xml:space="preserve">Each board cycle</t>
  </si>
  <si>
    <t xml:space="preserve">Total Risk-Adjusted Project Value</t>
  </si>
  <si>
    <t xml:space="preserve">Median NPV (without options)</t>
  </si>
  <si>
    <t xml:space="preserve">+ Abandon put value</t>
  </si>
  <si>
    <t xml:space="preserve">+$0.0M (deep OTM at median)</t>
  </si>
  <si>
    <t xml:space="preserve">+ Expand call value</t>
  </si>
  <si>
    <t xml:space="preserve">+$125.3M</t>
  </si>
  <si>
    <t xml:space="preserve">TOTAL RISK-ADJUSTED VALUE</t>
  </si>
  <si>
    <t xml:space="preserve">$319.1M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</si>
</sst>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%"/>
    <numFmt numFmtId="166" formatCode="#,##0.00"/>
    <numFmt numFmtId="167" formatCode="\$#,##0"/>
    <numFmt numFmtId="168" formatCode="0%"/>
    <numFmt numFmtId="169" formatCode="0.00"/>
    <numFmt numFmtId="170" formatCode="0.000"/>
    <numFmt numFmtId="171" formatCode="0.0%"/>
    <numFmt numFmtId="172" formatCode="_(\$* #,##0,,;[RED]_(\$* \(#,##0,,\);0_)"/>
    <numFmt numFmtId="173" formatCode="\+0%;\-0%;0%"/>
    <numFmt numFmtId="174" formatCode="\+0.00%"/>
    <numFmt numFmtId="175" formatCode="0"/>
    <numFmt numFmtId="176" formatCode="#,##0.0"/>
    <numFmt numFmtId="177" formatCode="0.0000"/>
    <numFmt numFmtId="178" formatCode="\$#,##0.00"/>
    <numFmt numFmtId="179" formatCode="\$#,##0.0"/>
    <numFmt numFmtId="180" formatCode="\$#,##0.0;[RED]&quot;($&quot;#,##0.0\)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0"/>
    <col collapsed="false" customWidth="true" hidden="false" outlineLevel="0" max="3" min="3" style="1" width="30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7.2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  <c r="C7" s="6" t="s">
        <v>4</v>
      </c>
    </row>
    <row r="8" customFormat="false" ht="15" hidden="false" customHeight="true" outlineLevel="0" collapsed="false">
      <c r="B8" s="5" t="s">
        <v>5</v>
      </c>
      <c r="C8" s="6" t="s">
        <v>6</v>
      </c>
    </row>
    <row r="9" customFormat="false" ht="15" hidden="false" customHeight="true" outlineLevel="0" collapsed="false">
      <c r="B9" s="5" t="s">
        <v>7</v>
      </c>
      <c r="C9" s="6" t="s">
        <v>8</v>
      </c>
    </row>
    <row r="10" customFormat="false" ht="15" hidden="false" customHeight="true" outlineLevel="0" collapsed="false">
      <c r="B10" s="5" t="s">
        <v>9</v>
      </c>
      <c r="C10" s="7" t="s">
        <v>10</v>
      </c>
    </row>
    <row r="11" customFormat="false" ht="15" hidden="false" customHeight="true" outlineLevel="0" collapsed="false">
      <c r="B11" s="5" t="s">
        <v>11</v>
      </c>
      <c r="C11" s="6" t="s">
        <v>12</v>
      </c>
    </row>
    <row r="12" customFormat="false" ht="15" hidden="false" customHeight="true" outlineLevel="0" collapsed="false">
      <c r="B12" s="5" t="s">
        <v>13</v>
      </c>
      <c r="C12" s="8" t="s">
        <v>14</v>
      </c>
    </row>
    <row r="13" customFormat="false" ht="15" hidden="false" customHeight="true" outlineLevel="0" collapsed="false">
      <c r="B13" s="5" t="s">
        <v>15</v>
      </c>
      <c r="C13" s="7" t="s">
        <v>16</v>
      </c>
    </row>
    <row r="14" customFormat="false" ht="15" hidden="false" customHeight="true" outlineLevel="0" collapsed="false">
      <c r="B14" s="5" t="s">
        <v>17</v>
      </c>
      <c r="C14" s="6" t="s">
        <v>18</v>
      </c>
    </row>
    <row r="15" customFormat="false" ht="15" hidden="false" customHeight="true" outlineLevel="0" collapsed="false">
      <c r="B15" s="5" t="s">
        <v>19</v>
      </c>
      <c r="C15" s="8" t="s">
        <v>20</v>
      </c>
    </row>
    <row r="16" customFormat="false" ht="15" hidden="false" customHeight="true" outlineLevel="0" collapsed="false">
      <c r="B16" s="5" t="s">
        <v>21</v>
      </c>
      <c r="C16" s="8" t="s">
        <v>22</v>
      </c>
    </row>
    <row r="17" customFormat="false" ht="15" hidden="false" customHeight="true" outlineLevel="0" collapsed="false">
      <c r="B17" s="5" t="s">
        <v>23</v>
      </c>
      <c r="C17" s="8" t="s">
        <v>24</v>
      </c>
    </row>
    <row r="18" customFormat="false" ht="15" hidden="false" customHeight="true" outlineLevel="0" collapsed="false">
      <c r="B18" s="5" t="s">
        <v>25</v>
      </c>
      <c r="C18" s="8" t="s">
        <v>26</v>
      </c>
    </row>
    <row r="20" customFormat="false" ht="17.25" hidden="false" customHeight="true" outlineLevel="0" collapsed="false">
      <c r="B20" s="4" t="s">
        <v>27</v>
      </c>
    </row>
    <row r="22" customFormat="false" ht="15" hidden="false" customHeight="true" outlineLevel="0" collapsed="false">
      <c r="B22" s="9" t="s">
        <v>28</v>
      </c>
      <c r="C22" s="10" t="s">
        <v>29</v>
      </c>
    </row>
    <row r="23" customFormat="false" ht="15" hidden="false" customHeight="true" outlineLevel="0" collapsed="false">
      <c r="B23" s="9" t="s">
        <v>30</v>
      </c>
      <c r="C23" s="10" t="s">
        <v>31</v>
      </c>
    </row>
    <row r="24" customFormat="false" ht="15" hidden="false" customHeight="true" outlineLevel="0" collapsed="false">
      <c r="B24" s="9" t="s">
        <v>32</v>
      </c>
      <c r="C24" s="10" t="s">
        <v>33</v>
      </c>
    </row>
    <row r="25" customFormat="false" ht="15" hidden="false" customHeight="true" outlineLevel="0" collapsed="false">
      <c r="B25" s="9" t="s">
        <v>34</v>
      </c>
      <c r="C25" s="10" t="s">
        <v>35</v>
      </c>
    </row>
    <row r="26" customFormat="false" ht="15" hidden="false" customHeight="true" outlineLevel="0" collapsed="false">
      <c r="B26" s="9" t="s">
        <v>36</v>
      </c>
      <c r="C26" s="10" t="s">
        <v>37</v>
      </c>
    </row>
    <row r="27" customFormat="false" ht="15" hidden="false" customHeight="true" outlineLevel="0" collapsed="false">
      <c r="B27" s="9" t="s">
        <v>38</v>
      </c>
      <c r="C27" s="10" t="s">
        <v>39</v>
      </c>
    </row>
    <row r="28" customFormat="false" ht="15" hidden="false" customHeight="true" outlineLevel="0" collapsed="false">
      <c r="B28" s="9" t="s">
        <v>40</v>
      </c>
      <c r="C28" s="10" t="s">
        <v>41</v>
      </c>
    </row>
    <row r="29" customFormat="false" ht="15" hidden="false" customHeight="true" outlineLevel="0" collapsed="false">
      <c r="B29" s="9" t="s">
        <v>42</v>
      </c>
      <c r="C29" s="10" t="s">
        <v>43</v>
      </c>
    </row>
    <row r="32" customFormat="false" ht="15" hidden="false" customHeight="true" outlineLevel="0" collapsed="false">
      <c r="B32" s="11" t="s">
        <v>44</v>
      </c>
    </row>
    <row r="33" customFormat="false" ht="15" hidden="false" customHeight="true" outlineLevel="0" collapsed="false">
      <c r="B33" s="12" t="s">
        <v>45</v>
      </c>
    </row>
    <row r="34" customFormat="false" ht="15" hidden="false" customHeight="true" outlineLevel="0" collapsed="false">
      <c r="B34" s="12" t="s">
        <v>46</v>
      </c>
    </row>
    <row r="35" customFormat="false" ht="15" hidden="false" customHeight="true" outlineLevel="0" collapsed="false">
      <c r="B35" s="12" t="s">
        <v>47</v>
      </c>
    </row>
    <row r="36" customFormat="false" ht="15" hidden="false" customHeight="true" outlineLevel="0" collapsed="false">
      <c r="B36" s="12" t="s">
        <v>48</v>
      </c>
    </row>
    <row r="37" customFormat="false" ht="15" hidden="false" customHeight="true" outlineLevel="0" collapsed="false">
      <c r="B37" s="1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38"/>
  </cols>
  <sheetData>
    <row r="2" customFormat="false" ht="17.25" hidden="false" customHeight="true" outlineLevel="0" collapsed="false">
      <c r="B2" s="4" t="s">
        <v>50</v>
      </c>
    </row>
    <row r="3" customFormat="false" ht="15" hidden="false" customHeight="true" outlineLevel="0" collapsed="false">
      <c r="B3" s="13" t="s">
        <v>51</v>
      </c>
    </row>
    <row r="5" customFormat="false" ht="15" hidden="false" customHeight="true" outlineLevel="0" collapsed="false">
      <c r="B5" s="14" t="s">
        <v>52</v>
      </c>
      <c r="C5" s="14" t="s">
        <v>53</v>
      </c>
      <c r="D5" s="14" t="s">
        <v>54</v>
      </c>
    </row>
    <row r="6" customFormat="false" ht="15" hidden="false" customHeight="true" outlineLevel="0" collapsed="false">
      <c r="B6" s="10" t="s">
        <v>55</v>
      </c>
      <c r="C6" s="15" t="n">
        <v>0.045</v>
      </c>
      <c r="D6" s="16" t="s">
        <v>56</v>
      </c>
    </row>
    <row r="7" customFormat="false" ht="15" hidden="false" customHeight="true" outlineLevel="0" collapsed="false">
      <c r="B7" s="10" t="s">
        <v>57</v>
      </c>
      <c r="C7" s="15" t="n">
        <v>0.055</v>
      </c>
      <c r="D7" s="16" t="s">
        <v>58</v>
      </c>
    </row>
    <row r="8" customFormat="false" ht="15" hidden="false" customHeight="true" outlineLevel="0" collapsed="false">
      <c r="B8" s="10" t="s">
        <v>59</v>
      </c>
      <c r="C8" s="17" t="n">
        <v>0.95</v>
      </c>
      <c r="D8" s="16" t="s">
        <v>60</v>
      </c>
    </row>
    <row r="9" customFormat="false" ht="15" hidden="false" customHeight="true" outlineLevel="0" collapsed="false">
      <c r="B9" s="10" t="s">
        <v>61</v>
      </c>
      <c r="C9" s="15" t="n">
        <v>0.21</v>
      </c>
      <c r="D9" s="16" t="s">
        <v>62</v>
      </c>
    </row>
    <row r="10" customFormat="false" ht="15" hidden="false" customHeight="true" outlineLevel="0" collapsed="false">
      <c r="B10" s="10" t="s">
        <v>63</v>
      </c>
      <c r="C10" s="15" t="n">
        <v>0.055</v>
      </c>
      <c r="D10" s="16" t="s">
        <v>64</v>
      </c>
    </row>
    <row r="11" customFormat="false" ht="15" hidden="false" customHeight="true" outlineLevel="0" collapsed="false">
      <c r="B11" s="10" t="s">
        <v>65</v>
      </c>
      <c r="C11" s="18" t="n">
        <v>150000000</v>
      </c>
      <c r="D11" s="16" t="s">
        <v>66</v>
      </c>
    </row>
    <row r="12" customFormat="false" ht="15" hidden="false" customHeight="true" outlineLevel="0" collapsed="false">
      <c r="B12" s="10" t="s">
        <v>67</v>
      </c>
      <c r="C12" s="17" t="n">
        <v>5000</v>
      </c>
      <c r="D12" s="16" t="s">
        <v>68</v>
      </c>
    </row>
    <row r="13" customFormat="false" ht="15" hidden="false" customHeight="true" outlineLevel="0" collapsed="false">
      <c r="B13" s="10" t="s">
        <v>69</v>
      </c>
      <c r="C13" s="18" t="n">
        <v>35</v>
      </c>
      <c r="D13" s="16" t="s">
        <v>70</v>
      </c>
    </row>
    <row r="14" customFormat="false" ht="15" hidden="false" customHeight="true" outlineLevel="0" collapsed="false">
      <c r="B14" s="10" t="s">
        <v>71</v>
      </c>
      <c r="C14" s="18" t="n">
        <v>12000000</v>
      </c>
      <c r="D14" s="16" t="s">
        <v>72</v>
      </c>
    </row>
    <row r="15" customFormat="false" ht="15" hidden="false" customHeight="true" outlineLevel="0" collapsed="false">
      <c r="B15" s="10" t="s">
        <v>73</v>
      </c>
      <c r="C15" s="17" t="n">
        <v>10</v>
      </c>
      <c r="D15" s="16" t="s">
        <v>74</v>
      </c>
    </row>
    <row r="16" customFormat="false" ht="15" hidden="false" customHeight="true" outlineLevel="0" collapsed="false">
      <c r="B16" s="10" t="s">
        <v>75</v>
      </c>
      <c r="C16" s="18" t="n">
        <v>40000000</v>
      </c>
      <c r="D16" s="16" t="s">
        <v>76</v>
      </c>
    </row>
    <row r="17" customFormat="false" ht="15" hidden="false" customHeight="true" outlineLevel="0" collapsed="false">
      <c r="B17" s="10" t="s">
        <v>77</v>
      </c>
      <c r="C17" s="18" t="n">
        <v>60000000</v>
      </c>
      <c r="D17" s="16" t="s">
        <v>78</v>
      </c>
    </row>
    <row r="18" customFormat="false" ht="15" hidden="false" customHeight="true" outlineLevel="0" collapsed="false">
      <c r="B18" s="10" t="s">
        <v>79</v>
      </c>
      <c r="C18" s="17" t="n">
        <v>3</v>
      </c>
      <c r="D18" s="16" t="s">
        <v>80</v>
      </c>
    </row>
    <row r="19" customFormat="false" ht="15" hidden="false" customHeight="true" outlineLevel="0" collapsed="false">
      <c r="B19" s="10" t="s">
        <v>81</v>
      </c>
      <c r="C19" s="17" t="n">
        <v>5</v>
      </c>
      <c r="D19" s="16" t="s">
        <v>80</v>
      </c>
    </row>
    <row r="20" customFormat="false" ht="15" hidden="false" customHeight="true" outlineLevel="0" collapsed="false">
      <c r="B20" s="10" t="s">
        <v>82</v>
      </c>
      <c r="C20" s="15" t="n">
        <v>0.4053</v>
      </c>
      <c r="D20" s="16" t="s">
        <v>83</v>
      </c>
    </row>
    <row r="21" customFormat="false" ht="15" hidden="false" customHeight="true" outlineLevel="0" collapsed="false">
      <c r="B21" s="10" t="s">
        <v>84</v>
      </c>
      <c r="C21" s="15" t="n">
        <v>0.34453</v>
      </c>
      <c r="D21" s="16" t="s">
        <v>85</v>
      </c>
    </row>
    <row r="22" customFormat="false" ht="15" hidden="false" customHeight="true" outlineLevel="0" collapsed="false">
      <c r="B22" s="10" t="s">
        <v>86</v>
      </c>
      <c r="C22" s="18" t="n">
        <v>60</v>
      </c>
      <c r="D22" s="16" t="s">
        <v>87</v>
      </c>
    </row>
    <row r="23" customFormat="false" ht="15" hidden="false" customHeight="true" outlineLevel="0" collapsed="false">
      <c r="B23" s="10" t="s">
        <v>88</v>
      </c>
      <c r="C23" s="15" t="n">
        <v>0.0935</v>
      </c>
      <c r="D23" s="1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4"/>
  </cols>
  <sheetData>
    <row r="2" customFormat="false" ht="17.25" hidden="false" customHeight="true" outlineLevel="0" collapsed="false">
      <c r="B2" s="4" t="s">
        <v>90</v>
      </c>
    </row>
    <row r="3" customFormat="false" ht="15" hidden="false" customHeight="true" outlineLevel="0" collapsed="false">
      <c r="B3" s="13" t="s">
        <v>91</v>
      </c>
    </row>
    <row r="5" customFormat="false" ht="15" hidden="false" customHeight="true" outlineLevel="0" collapsed="false">
      <c r="B5" s="14" t="s">
        <v>92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</row>
    <row r="6" customFormat="false" ht="15" hidden="false" customHeight="true" outlineLevel="0" collapsed="false">
      <c r="B6" s="19" t="n">
        <v>0</v>
      </c>
      <c r="C6" s="20" t="n">
        <f aca="false">B6/(1-B6)</f>
        <v>0</v>
      </c>
      <c r="D6" s="21" t="n">
        <f aca="false">Beta_U*(1+(1-Tax_Rate)*C6)</f>
        <v>0.95</v>
      </c>
      <c r="E6" s="22" t="n">
        <f aca="false">RF+D6*MRP</f>
        <v>0.09725</v>
      </c>
      <c r="F6" s="22" t="n">
        <f aca="false">RD_Base+IF(B6&gt;0.3,(B6-0.3)^1.5*0.18,0)</f>
        <v>0.055</v>
      </c>
      <c r="G6" s="22" t="n">
        <f aca="false">(1-B6)*E6+B6*F6*(1-Tax_Rate)</f>
        <v>0.09725</v>
      </c>
      <c r="H6" s="10"/>
    </row>
    <row r="7" customFormat="false" ht="15" hidden="false" customHeight="true" outlineLevel="0" collapsed="false">
      <c r="B7" s="19" t="n">
        <v>0.05</v>
      </c>
      <c r="C7" s="20" t="n">
        <f aca="false">B7/(1-B7)</f>
        <v>0.0526315789473684</v>
      </c>
      <c r="D7" s="21" t="n">
        <f aca="false">Beta_U*(1+(1-Tax_Rate)*C7)</f>
        <v>0.9895</v>
      </c>
      <c r="E7" s="22" t="n">
        <f aca="false">RF+D7*MRP</f>
        <v>0.0994225</v>
      </c>
      <c r="F7" s="22" t="n">
        <f aca="false">RD_Base+IF(B7&gt;0.3,(B7-0.3)^1.5*0.18,0)</f>
        <v>0.055</v>
      </c>
      <c r="G7" s="22" t="n">
        <f aca="false">(1-B7)*E7+B7*F7*(1-Tax_Rate)</f>
        <v>0.096623875</v>
      </c>
      <c r="H7" s="10"/>
    </row>
    <row r="8" customFormat="false" ht="15" hidden="false" customHeight="true" outlineLevel="0" collapsed="false">
      <c r="B8" s="19" t="n">
        <v>0.1</v>
      </c>
      <c r="C8" s="20" t="n">
        <f aca="false">B8/(1-B8)</f>
        <v>0.111111111111111</v>
      </c>
      <c r="D8" s="21" t="n">
        <f aca="false">Beta_U*(1+(1-Tax_Rate)*C8)</f>
        <v>1.03338888888889</v>
      </c>
      <c r="E8" s="22" t="n">
        <f aca="false">RF+D8*MRP</f>
        <v>0.101836388888889</v>
      </c>
      <c r="F8" s="22" t="n">
        <f aca="false">RD_Base+IF(B8&gt;0.3,(B8-0.3)^1.5*0.18,0)</f>
        <v>0.055</v>
      </c>
      <c r="G8" s="22" t="n">
        <f aca="false">(1-B8)*E8+B8*F8*(1-Tax_Rate)</f>
        <v>0.09599775</v>
      </c>
      <c r="H8" s="10"/>
    </row>
    <row r="9" customFormat="false" ht="15" hidden="false" customHeight="true" outlineLevel="0" collapsed="false">
      <c r="B9" s="19" t="n">
        <v>0.15</v>
      </c>
      <c r="C9" s="20" t="n">
        <f aca="false">B9/(1-B9)</f>
        <v>0.176470588235294</v>
      </c>
      <c r="D9" s="21" t="n">
        <f aca="false">Beta_U*(1+(1-Tax_Rate)*C9)</f>
        <v>1.08244117647059</v>
      </c>
      <c r="E9" s="22" t="n">
        <f aca="false">RF+D9*MRP</f>
        <v>0.104534264705882</v>
      </c>
      <c r="F9" s="22" t="n">
        <f aca="false">RD_Base+IF(B9&gt;0.3,(B9-0.3)^1.5*0.18,0)</f>
        <v>0.055</v>
      </c>
      <c r="G9" s="22" t="n">
        <f aca="false">(1-B9)*E9+B9*F9*(1-Tax_Rate)</f>
        <v>0.095371625</v>
      </c>
      <c r="H9" s="10"/>
    </row>
    <row r="10" customFormat="false" ht="15" hidden="false" customHeight="true" outlineLevel="0" collapsed="false">
      <c r="B10" s="19" t="n">
        <v>0.2</v>
      </c>
      <c r="C10" s="20" t="n">
        <f aca="false">B10/(1-B10)</f>
        <v>0.25</v>
      </c>
      <c r="D10" s="21" t="n">
        <f aca="false">Beta_U*(1+(1-Tax_Rate)*C10)</f>
        <v>1.137625</v>
      </c>
      <c r="E10" s="22" t="n">
        <f aca="false">RF+D10*MRP</f>
        <v>0.107569375</v>
      </c>
      <c r="F10" s="22" t="n">
        <f aca="false">RD_Base+IF(B10&gt;0.3,(B10-0.3)^1.5*0.18,0)</f>
        <v>0.055</v>
      </c>
      <c r="G10" s="22" t="n">
        <f aca="false">(1-B10)*E10+B10*F10*(1-Tax_Rate)</f>
        <v>0.0947455</v>
      </c>
      <c r="H10" s="10"/>
    </row>
    <row r="11" customFormat="false" ht="15" hidden="false" customHeight="true" outlineLevel="0" collapsed="false">
      <c r="B11" s="19" t="n">
        <v>0.25</v>
      </c>
      <c r="C11" s="20" t="n">
        <f aca="false">B11/(1-B11)</f>
        <v>0.333333333333333</v>
      </c>
      <c r="D11" s="21" t="n">
        <f aca="false">Beta_U*(1+(1-Tax_Rate)*C11)</f>
        <v>1.20016666666667</v>
      </c>
      <c r="E11" s="22" t="n">
        <f aca="false">RF+D11*MRP</f>
        <v>0.111009166666667</v>
      </c>
      <c r="F11" s="22" t="n">
        <f aca="false">RD_Base+IF(B11&gt;0.3,(B11-0.3)^1.5*0.18,0)</f>
        <v>0.055</v>
      </c>
      <c r="G11" s="22" t="n">
        <f aca="false">(1-B11)*E11+B11*F11*(1-Tax_Rate)</f>
        <v>0.094119375</v>
      </c>
      <c r="H11" s="10"/>
    </row>
    <row r="12" customFormat="false" ht="15" hidden="false" customHeight="true" outlineLevel="0" collapsed="false">
      <c r="B12" s="19" t="n">
        <v>0.3</v>
      </c>
      <c r="C12" s="20" t="n">
        <f aca="false">B12/(1-B12)</f>
        <v>0.428571428571429</v>
      </c>
      <c r="D12" s="21" t="n">
        <f aca="false">Beta_U*(1+(1-Tax_Rate)*C12)</f>
        <v>1.27164285714286</v>
      </c>
      <c r="E12" s="22" t="n">
        <f aca="false">RF+D12*MRP</f>
        <v>0.114940357142857</v>
      </c>
      <c r="F12" s="22" t="n">
        <f aca="false">RD_Base+IF(B12&gt;0.3,(B12-0.3)^1.5*0.18,0)</f>
        <v>0.055</v>
      </c>
      <c r="G12" s="22" t="n">
        <f aca="false">(1-B12)*E12+B12*F12*(1-Tax_Rate)</f>
        <v>0.09349325</v>
      </c>
      <c r="H12" s="23" t="s">
        <v>99</v>
      </c>
    </row>
    <row r="13" customFormat="false" ht="15" hidden="false" customHeight="true" outlineLevel="0" collapsed="false">
      <c r="B13" s="19" t="n">
        <v>0.35</v>
      </c>
      <c r="C13" s="20" t="n">
        <f aca="false">B13/(1-B13)</f>
        <v>0.538461538461538</v>
      </c>
      <c r="D13" s="21" t="n">
        <f aca="false">Beta_U*(1+(1-Tax_Rate)*C13)</f>
        <v>1.35411538461538</v>
      </c>
      <c r="E13" s="22" t="n">
        <f aca="false">RF+D13*MRP</f>
        <v>0.119476346153846</v>
      </c>
      <c r="F13" s="22" t="n">
        <f aca="false">RD_Base+IF(B13&gt;0.3,(B13-0.3)^1.5*0.18,0)</f>
        <v>0.0570124611797498</v>
      </c>
      <c r="G13" s="22" t="n">
        <f aca="false">(1-B13)*E13+B13*F13*(1-Tax_Rate)</f>
        <v>0.0934235705162008</v>
      </c>
      <c r="H13" s="10"/>
    </row>
    <row r="14" customFormat="false" ht="15" hidden="false" customHeight="true" outlineLevel="0" collapsed="false">
      <c r="B14" s="19" t="n">
        <v>0.4</v>
      </c>
      <c r="C14" s="20" t="n">
        <f aca="false">B14/(1-B14)</f>
        <v>0.666666666666667</v>
      </c>
      <c r="D14" s="21" t="n">
        <f aca="false">Beta_U*(1+(1-Tax_Rate)*C14)</f>
        <v>1.45033333333333</v>
      </c>
      <c r="E14" s="22" t="n">
        <f aca="false">RF+D14*MRP</f>
        <v>0.124768333333333</v>
      </c>
      <c r="F14" s="22" t="n">
        <f aca="false">RD_Base+IF(B14&gt;0.3,(B14-0.3)^1.5*0.18,0)</f>
        <v>0.0606920997883031</v>
      </c>
      <c r="G14" s="22" t="n">
        <f aca="false">(1-B14)*E14+B14*F14*(1-Tax_Rate)</f>
        <v>0.0940397035331038</v>
      </c>
      <c r="H14" s="10"/>
    </row>
    <row r="15" customFormat="false" ht="15" hidden="false" customHeight="true" outlineLevel="0" collapsed="false">
      <c r="B15" s="19" t="n">
        <v>0.45</v>
      </c>
      <c r="C15" s="20" t="n">
        <f aca="false">B15/(1-B15)</f>
        <v>0.818181818181818</v>
      </c>
      <c r="D15" s="21" t="n">
        <f aca="false">Beta_U*(1+(1-Tax_Rate)*C15)</f>
        <v>1.56404545454545</v>
      </c>
      <c r="E15" s="22" t="n">
        <f aca="false">RF+D15*MRP</f>
        <v>0.1310225</v>
      </c>
      <c r="F15" s="22" t="n">
        <f aca="false">RD_Base+IF(B15&gt;0.3,(B15-0.3)^1.5*0.18,0)</f>
        <v>0.06545705503476</v>
      </c>
      <c r="G15" s="22" t="n">
        <f aca="false">(1-B15)*E15+B15*F15*(1-Tax_Rate)</f>
        <v>0.0953323580648572</v>
      </c>
      <c r="H15" s="10"/>
    </row>
    <row r="16" customFormat="false" ht="15" hidden="false" customHeight="true" outlineLevel="0" collapsed="false">
      <c r="B16" s="19" t="n">
        <v>0.5</v>
      </c>
      <c r="C16" s="20" t="n">
        <f aca="false">B16/(1-B16)</f>
        <v>1</v>
      </c>
      <c r="D16" s="21" t="n">
        <f aca="false">Beta_U*(1+(1-Tax_Rate)*C16)</f>
        <v>1.7005</v>
      </c>
      <c r="E16" s="22" t="n">
        <f aca="false">RF+D16*MRP</f>
        <v>0.1385275</v>
      </c>
      <c r="F16" s="22" t="n">
        <f aca="false">RD_Base+IF(B16&gt;0.3,(B16-0.3)^1.5*0.18,0)</f>
        <v>0.0710996894379985</v>
      </c>
      <c r="G16" s="22" t="n">
        <f aca="false">(1-B16)*E16+B16*F16*(1-Tax_Rate)</f>
        <v>0.0973481273280094</v>
      </c>
      <c r="H16" s="10"/>
    </row>
    <row r="17" customFormat="false" ht="15" hidden="false" customHeight="true" outlineLevel="0" collapsed="false">
      <c r="B17" s="19" t="n">
        <v>0.55</v>
      </c>
      <c r="C17" s="20" t="n">
        <f aca="false">B17/(1-B17)</f>
        <v>1.22222222222222</v>
      </c>
      <c r="D17" s="21" t="n">
        <f aca="false">Beta_U*(1+(1-Tax_Rate)*C17)</f>
        <v>1.86727777777778</v>
      </c>
      <c r="E17" s="22" t="n">
        <f aca="false">RF+D17*MRP</f>
        <v>0.147700277777778</v>
      </c>
      <c r="F17" s="22" t="n">
        <f aca="false">RD_Base+IF(B17&gt;0.3,(B17-0.3)^1.5*0.18,0)</f>
        <v>0.0775</v>
      </c>
      <c r="G17" s="22" t="n">
        <f aca="false">(1-B17)*E17+B17*F17*(1-Tax_Rate)</f>
        <v>0.100138875</v>
      </c>
      <c r="H17" s="10"/>
    </row>
    <row r="18" customFormat="false" ht="15" hidden="false" customHeight="true" outlineLevel="0" collapsed="false">
      <c r="B18" s="19" t="n">
        <v>0.6</v>
      </c>
      <c r="C18" s="20" t="n">
        <f aca="false">B18/(1-B18)</f>
        <v>1.5</v>
      </c>
      <c r="D18" s="21" t="n">
        <f aca="false">Beta_U*(1+(1-Tax_Rate)*C18)</f>
        <v>2.07575</v>
      </c>
      <c r="E18" s="22" t="n">
        <f aca="false">RF+D18*MRP</f>
        <v>0.15916625</v>
      </c>
      <c r="F18" s="22" t="n">
        <f aca="false">RD_Base+IF(B18&gt;0.3,(B18-0.3)^1.5*0.18,0)</f>
        <v>0.084577018105279</v>
      </c>
      <c r="G18" s="22" t="n">
        <f aca="false">(1-B18)*E18+B18*F18*(1-Tax_Rate)</f>
        <v>0.103756006581902</v>
      </c>
      <c r="H18" s="10"/>
    </row>
    <row r="19" customFormat="false" ht="15" hidden="false" customHeight="true" outlineLevel="0" collapsed="false">
      <c r="B19" s="19" t="n">
        <v>0.65</v>
      </c>
      <c r="C19" s="20" t="n">
        <f aca="false">B19/(1-B19)</f>
        <v>1.85714285714286</v>
      </c>
      <c r="D19" s="21" t="n">
        <f aca="false">Beta_U*(1+(1-Tax_Rate)*C19)</f>
        <v>2.34378571428571</v>
      </c>
      <c r="E19" s="22" t="n">
        <f aca="false">RF+D19*MRP</f>
        <v>0.173908214285714</v>
      </c>
      <c r="F19" s="22" t="n">
        <f aca="false">RD_Base+IF(B19&gt;0.3,(B19-0.3)^1.5*0.18,0)</f>
        <v>0.0922713026335276</v>
      </c>
      <c r="G19" s="22" t="n">
        <f aca="false">(1-B19)*E19+B19*F19*(1-Tax_Rate)</f>
        <v>0.108249188902316</v>
      </c>
      <c r="H19" s="10"/>
    </row>
    <row r="20" customFormat="false" ht="15" hidden="false" customHeight="true" outlineLevel="0" collapsed="false">
      <c r="B20" s="19" t="n">
        <v>0.7</v>
      </c>
      <c r="C20" s="20" t="n">
        <f aca="false">B20/(1-B20)</f>
        <v>2.33333333333333</v>
      </c>
      <c r="D20" s="21" t="n">
        <f aca="false">Beta_U*(1+(1-Tax_Rate)*C20)</f>
        <v>2.70116666666667</v>
      </c>
      <c r="E20" s="22" t="n">
        <f aca="false">RF+D20*MRP</f>
        <v>0.193564166666667</v>
      </c>
      <c r="F20" s="22" t="n">
        <f aca="false">RD_Base+IF(B20&gt;0.3,(B20-0.3)^1.5*0.18,0)</f>
        <v>0.100536798306425</v>
      </c>
      <c r="G20" s="22" t="n">
        <f aca="false">(1-B20)*E20+B20*F20*(1-Tax_Rate)</f>
        <v>0.113666099463453</v>
      </c>
      <c r="H20" s="10"/>
    </row>
    <row r="21" customFormat="false" ht="15" hidden="false" customHeight="true" outlineLevel="0" collapsed="false">
      <c r="B21" s="19" t="n">
        <v>0.75</v>
      </c>
      <c r="C21" s="20" t="n">
        <f aca="false">B21/(1-B21)</f>
        <v>3</v>
      </c>
      <c r="D21" s="21" t="n">
        <f aca="false">Beta_U*(1+(1-Tax_Rate)*C21)</f>
        <v>3.2015</v>
      </c>
      <c r="E21" s="22" t="n">
        <f aca="false">RF+D21*MRP</f>
        <v>0.2210825</v>
      </c>
      <c r="F21" s="22" t="n">
        <f aca="false">RD_Base+IF(B21&gt;0.3,(B21-0.3)^1.5*0.18,0)</f>
        <v>0.109336451853245</v>
      </c>
      <c r="G21" s="22" t="n">
        <f aca="false">(1-B21)*E21+B21*F21*(1-Tax_Rate)</f>
        <v>0.120052472723048</v>
      </c>
      <c r="H21" s="10"/>
    </row>
    <row r="22" customFormat="false" ht="15" hidden="false" customHeight="true" outlineLevel="0" collapsed="false">
      <c r="B22" s="19" t="n">
        <v>0.8</v>
      </c>
      <c r="C22" s="20" t="n">
        <f aca="false">B22/(1-B22)</f>
        <v>4</v>
      </c>
      <c r="D22" s="21" t="n">
        <f aca="false">Beta_U*(1+(1-Tax_Rate)*C22)</f>
        <v>3.952</v>
      </c>
      <c r="E22" s="22" t="n">
        <f aca="false">RF+D22*MRP</f>
        <v>0.26236</v>
      </c>
      <c r="F22" s="22" t="n">
        <f aca="false">RD_Base+IF(B22&gt;0.3,(B22-0.3)^1.5*0.18,0)</f>
        <v>0.118639610306789</v>
      </c>
      <c r="G22" s="22" t="n">
        <f aca="false">(1-B22)*E22+B22*F22*(1-Tax_Rate)</f>
        <v>0.127452233713891</v>
      </c>
      <c r="H22" s="10"/>
    </row>
    <row r="24" customFormat="false" ht="15" hidden="false" customHeight="true" outlineLevel="0" collapsed="false">
      <c r="B24" s="24" t="s">
        <v>100</v>
      </c>
      <c r="G24" s="25" t="n">
        <f aca="false">MIN(G6:G22)</f>
        <v>0.0934235705162008</v>
      </c>
    </row>
    <row r="25" customFormat="false" ht="15" hidden="false" customHeight="true" outlineLevel="0" collapsed="false">
      <c r="B25" s="24" t="s">
        <v>101</v>
      </c>
      <c r="G25" s="26" t="n">
        <f aca="false">INDEX(B6:B22,MATCH(G24,G6:G22,0))</f>
        <v>0.35</v>
      </c>
    </row>
  </sheetData>
  <conditionalFormatting sqref="G6:G2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2" style="1" width="12"/>
  </cols>
  <sheetData>
    <row r="2" customFormat="false" ht="17.25" hidden="false" customHeight="true" outlineLevel="0" collapsed="false">
      <c r="B2" s="4" t="s">
        <v>102</v>
      </c>
    </row>
    <row r="3" customFormat="false" ht="15" hidden="false" customHeight="true" outlineLevel="0" collapsed="false">
      <c r="B3" s="13" t="s">
        <v>103</v>
      </c>
    </row>
    <row r="5" customFormat="false" ht="15" hidden="false" customHeight="true" outlineLevel="0" collapsed="false">
      <c r="B5" s="9" t="s">
        <v>104</v>
      </c>
      <c r="C5" s="27" t="n">
        <v>30</v>
      </c>
      <c r="D5" s="27" t="n">
        <v>40</v>
      </c>
      <c r="E5" s="27" t="n">
        <v>50</v>
      </c>
      <c r="F5" s="27" t="n">
        <v>60</v>
      </c>
      <c r="G5" s="27" t="n">
        <v>70</v>
      </c>
      <c r="H5" s="27" t="n">
        <v>80</v>
      </c>
      <c r="I5" s="27" t="n">
        <v>90</v>
      </c>
    </row>
    <row r="6" customFormat="false" ht="15" hidden="false" customHeight="true" outlineLevel="0" collapsed="false">
      <c r="B6" s="28" t="n">
        <v>0.07</v>
      </c>
      <c r="C6" s="29" t="n">
        <f aca="false">((((30-ExtractCost)*Production*365)-FixedOpEx-CapEx/Horizon)-MAX(((30-ExtractCost)*Production*365-FixedOpEx-CapEx/Horizon)*Tax_Rate,0)+CapEx/Horizon)*(1-(1+0.07)^-Horizon)/0.07-CapEx</f>
        <v>-298373160.052201</v>
      </c>
      <c r="D6" s="29" t="n">
        <f aca="false">((((40-ExtractCost)*Production*365)-FixedOpEx-CapEx/Horizon)-MAX(((40-ExtractCost)*Production*365-FixedOpEx-CapEx/Horizon)*Tax_Rate,0)+CapEx/Horizon)*(1-(1+0.07)^-Horizon)/0.07-CapEx</f>
        <v>-170192796.930181</v>
      </c>
      <c r="E6" s="29" t="n">
        <f aca="false">((((50-ExtractCost)*Production*365)-FixedOpEx-CapEx/Horizon)-MAX(((50-ExtractCost)*Production*365-FixedOpEx-CapEx/Horizon)*Tax_Rate,0)+CapEx/Horizon)*(1-(1+0.07)^-Horizon)/0.07-CapEx</f>
        <v>-42565540.8545096</v>
      </c>
      <c r="F6" s="29" t="n">
        <f aca="false">((((60-ExtractCost)*Production*365)-FixedOpEx-CapEx/Horizon)-MAX(((60-ExtractCost)*Production*365-FixedOpEx-CapEx/Horizon)*Tax_Rate,0)+CapEx/Horizon)*(1-(1+0.07)^-Horizon)/0.07-CapEx</f>
        <v>58696946.0118862</v>
      </c>
      <c r="G6" s="29" t="n">
        <f aca="false">((((70-ExtractCost)*Production*365)-FixedOpEx-CapEx/Horizon)-MAX(((70-ExtractCost)*Production*365-FixedOpEx-CapEx/Horizon)*Tax_Rate,0)+CapEx/Horizon)*(1-(1+0.07)^-Horizon)/0.07-CapEx</f>
        <v>159959432.878282</v>
      </c>
      <c r="H6" s="29" t="n">
        <f aca="false">((((80-ExtractCost)*Production*365)-FixedOpEx-CapEx/Horizon)-MAX(((80-ExtractCost)*Production*365-FixedOpEx-CapEx/Horizon)*Tax_Rate,0)+CapEx/Horizon)*(1-(1+0.07)^-Horizon)/0.07-CapEx</f>
        <v>261221919.744678</v>
      </c>
      <c r="I6" s="29" t="n">
        <f aca="false">((((90-ExtractCost)*Production*365)-FixedOpEx-CapEx/Horizon)-MAX(((90-ExtractCost)*Production*365-FixedOpEx-CapEx/Horizon)*Tax_Rate,0)+CapEx/Horizon)*(1-(1+0.07)^-Horizon)/0.07-CapEx</f>
        <v>362484406.611074</v>
      </c>
    </row>
    <row r="7" customFormat="false" ht="15" hidden="false" customHeight="true" outlineLevel="0" collapsed="false">
      <c r="B7" s="28" t="n">
        <v>0.08</v>
      </c>
      <c r="C7" s="29" t="n">
        <f aca="false">((((30-ExtractCost)*Production*365)-FixedOpEx-CapEx/Horizon)-MAX(((30-ExtractCost)*Production*365-FixedOpEx-CapEx/Horizon)*Tax_Rate,0)+CapEx/Horizon)*(1-(1+0.08)^-Horizon)/0.08-CapEx</f>
        <v>-291750469.552638</v>
      </c>
      <c r="D7" s="29" t="n">
        <f aca="false">((((40-ExtractCost)*Production*365)-FixedOpEx-CapEx/Horizon)-MAX(((40-ExtractCost)*Production*365-FixedOpEx-CapEx/Horizon)*Tax_Rate,0)+CapEx/Horizon)*(1-(1+0.08)^-Horizon)/0.08-CapEx</f>
        <v>-169291484.021957</v>
      </c>
      <c r="E7" s="29" t="n">
        <f aca="false">((((50-ExtractCost)*Production*365)-FixedOpEx-CapEx/Horizon)-MAX(((50-ExtractCost)*Production*365-FixedOpEx-CapEx/Horizon)*Tax_Rate,0)+CapEx/Horizon)*(1-(1+0.08)^-Horizon)/0.08-CapEx</f>
        <v>-47360917.4014419</v>
      </c>
      <c r="F7" s="29" t="n">
        <f aca="false">((((60-ExtractCost)*Production*365)-FixedOpEx-CapEx/Horizon)-MAX(((60-ExtractCost)*Production*365-FixedOpEx-CapEx/Horizon)*Tax_Rate,0)+CapEx/Horizon)*(1-(1+0.08)^-Horizon)/0.08-CapEx</f>
        <v>49381681.1677964</v>
      </c>
      <c r="G7" s="29" t="n">
        <f aca="false">((((70-ExtractCost)*Production*365)-FixedOpEx-CapEx/Horizon)-MAX(((70-ExtractCost)*Production*365-FixedOpEx-CapEx/Horizon)*Tax_Rate,0)+CapEx/Horizon)*(1-(1+0.08)^-Horizon)/0.08-CapEx</f>
        <v>146124279.737035</v>
      </c>
      <c r="H7" s="29" t="n">
        <f aca="false">((((80-ExtractCost)*Production*365)-FixedOpEx-CapEx/Horizon)-MAX(((80-ExtractCost)*Production*365-FixedOpEx-CapEx/Horizon)*Tax_Rate,0)+CapEx/Horizon)*(1-(1+0.08)^-Horizon)/0.08-CapEx</f>
        <v>242866878.306273</v>
      </c>
      <c r="I7" s="29" t="n">
        <f aca="false">((((90-ExtractCost)*Production*365)-FixedOpEx-CapEx/Horizon)-MAX(((90-ExtractCost)*Production*365-FixedOpEx-CapEx/Horizon)*Tax_Rate,0)+CapEx/Horizon)*(1-(1+0.08)^-Horizon)/0.08-CapEx</f>
        <v>339609476.875511</v>
      </c>
    </row>
    <row r="8" customFormat="false" ht="15" hidden="false" customHeight="true" outlineLevel="0" collapsed="false">
      <c r="B8" s="28" t="n">
        <v>0.09</v>
      </c>
      <c r="C8" s="29" t="n">
        <f aca="false">((((30-ExtractCost)*Production*365)-FixedOpEx-CapEx/Horizon)-MAX(((30-ExtractCost)*Production*365-FixedOpEx-CapEx/Horizon)*Tax_Rate,0)+CapEx/Horizon)*(1-(1+0.09)^-Horizon)/0.09-CapEx</f>
        <v>-285573018.936984</v>
      </c>
      <c r="D8" s="29" t="n">
        <f aca="false">((((40-ExtractCost)*Production*365)-FixedOpEx-CapEx/Horizon)-MAX(((40-ExtractCost)*Production*365-FixedOpEx-CapEx/Horizon)*Tax_Rate,0)+CapEx/Horizon)*(1-(1+0.09)^-Horizon)/0.09-CapEx</f>
        <v>-168450765.890832</v>
      </c>
      <c r="E8" s="29" t="n">
        <f aca="false">((((50-ExtractCost)*Production*365)-FixedOpEx-CapEx/Horizon)-MAX(((50-ExtractCost)*Production*365-FixedOpEx-CapEx/Horizon)*Tax_Rate,0)+CapEx/Horizon)*(1-(1+0.09)^-Horizon)/0.09-CapEx</f>
        <v>-51833903.3886465</v>
      </c>
      <c r="F8" s="29" t="n">
        <f aca="false">((((60-ExtractCost)*Production*365)-FixedOpEx-CapEx/Horizon)-MAX(((60-ExtractCost)*Production*365-FixedOpEx-CapEx/Horizon)*Tax_Rate,0)+CapEx/Horizon)*(1-(1+0.09)^-Horizon)/0.09-CapEx</f>
        <v>40692676.5178136</v>
      </c>
      <c r="G8" s="29" t="n">
        <f aca="false">((((70-ExtractCost)*Production*365)-FixedOpEx-CapEx/Horizon)-MAX(((70-ExtractCost)*Production*365-FixedOpEx-CapEx/Horizon)*Tax_Rate,0)+CapEx/Horizon)*(1-(1+0.09)^-Horizon)/0.09-CapEx</f>
        <v>133219256.424274</v>
      </c>
      <c r="H8" s="29" t="n">
        <f aca="false">((((80-ExtractCost)*Production*365)-FixedOpEx-CapEx/Horizon)-MAX(((80-ExtractCost)*Production*365-FixedOpEx-CapEx/Horizon)*Tax_Rate,0)+CapEx/Horizon)*(1-(1+0.09)^-Horizon)/0.09-CapEx</f>
        <v>225745836.330734</v>
      </c>
      <c r="I8" s="29" t="n">
        <f aca="false">((((90-ExtractCost)*Production*365)-FixedOpEx-CapEx/Horizon)-MAX(((90-ExtractCost)*Production*365-FixedOpEx-CapEx/Horizon)*Tax_Rate,0)+CapEx/Horizon)*(1-(1+0.09)^-Horizon)/0.09-CapEx</f>
        <v>318272416.237194</v>
      </c>
    </row>
    <row r="9" customFormat="false" ht="15" hidden="false" customHeight="true" outlineLevel="0" collapsed="false">
      <c r="B9" s="28" t="n">
        <v>0.1</v>
      </c>
      <c r="C9" s="29" t="n">
        <f aca="false">((((30-ExtractCost)*Production*365)-FixedOpEx-CapEx/Horizon)-MAX(((30-ExtractCost)*Production*365-FixedOpEx-CapEx/Horizon)*Tax_Rate,0)+CapEx/Horizon)*(1-(1+0.1)^-Horizon)/0.1-CapEx</f>
        <v>-279803980.108012</v>
      </c>
      <c r="D9" s="29" t="n">
        <f aca="false">((((40-ExtractCost)*Production*365)-FixedOpEx-CapEx/Horizon)-MAX(((40-ExtractCost)*Production*365-FixedOpEx-CapEx/Horizon)*Tax_Rate,0)+CapEx/Horizon)*(1-(1+0.1)^-Horizon)/0.1-CapEx</f>
        <v>-167665630.428901</v>
      </c>
      <c r="E9" s="29" t="n">
        <f aca="false">((((50-ExtractCost)*Production*365)-FixedOpEx-CapEx/Horizon)-MAX(((50-ExtractCost)*Production*365-FixedOpEx-CapEx/Horizon)*Tax_Rate,0)+CapEx/Horizon)*(1-(1+0.1)^-Horizon)/0.1-CapEx</f>
        <v>-56011165.4093647</v>
      </c>
      <c r="F9" s="29" t="n">
        <f aca="false">((((60-ExtractCost)*Production*365)-FixedOpEx-CapEx/Horizon)-MAX(((60-ExtractCost)*Production*365-FixedOpEx-CapEx/Horizon)*Tax_Rate,0)+CapEx/Horizon)*(1-(1+0.1)^-Horizon)/0.1-CapEx</f>
        <v>32578130.8371326</v>
      </c>
      <c r="G9" s="29" t="n">
        <f aca="false">((((70-ExtractCost)*Production*365)-FixedOpEx-CapEx/Horizon)-MAX(((70-ExtractCost)*Production*365-FixedOpEx-CapEx/Horizon)*Tax_Rate,0)+CapEx/Horizon)*(1-(1+0.1)^-Horizon)/0.1-CapEx</f>
        <v>121167427.08363</v>
      </c>
      <c r="H9" s="29" t="n">
        <f aca="false">((((80-ExtractCost)*Production*365)-FixedOpEx-CapEx/Horizon)-MAX(((80-ExtractCost)*Production*365-FixedOpEx-CapEx/Horizon)*Tax_Rate,0)+CapEx/Horizon)*(1-(1+0.1)^-Horizon)/0.1-CapEx</f>
        <v>209756723.330127</v>
      </c>
      <c r="I9" s="29" t="n">
        <f aca="false">((((90-ExtractCost)*Production*365)-FixedOpEx-CapEx/Horizon)-MAX(((90-ExtractCost)*Production*365-FixedOpEx-CapEx/Horizon)*Tax_Rate,0)+CapEx/Horizon)*(1-(1+0.1)^-Horizon)/0.1-CapEx</f>
        <v>298346019.576625</v>
      </c>
    </row>
    <row r="10" customFormat="false" ht="15" hidden="false" customHeight="true" outlineLevel="0" collapsed="false">
      <c r="B10" s="28" t="n">
        <v>0.11</v>
      </c>
      <c r="C10" s="29" t="n">
        <f aca="false">((((30-ExtractCost)*Production*365)-FixedOpEx-CapEx/Horizon)-MAX(((30-ExtractCost)*Production*365-FixedOpEx-CapEx/Horizon)*Tax_Rate,0)+CapEx/Horizon)*(1-(1+0.11)^-Horizon)/0.11-CapEx</f>
        <v>-274410026.235358</v>
      </c>
      <c r="D10" s="29" t="n">
        <f aca="false">((((40-ExtractCost)*Production*365)-FixedOpEx-CapEx/Horizon)-MAX(((40-ExtractCost)*Production*365-FixedOpEx-CapEx/Horizon)*Tax_Rate,0)+CapEx/Horizon)*(1-(1+0.11)^-Horizon)/0.11-CapEx</f>
        <v>-166931542.032031</v>
      </c>
      <c r="E10" s="29" t="n">
        <f aca="false">((((50-ExtractCost)*Production*365)-FixedOpEx-CapEx/Horizon)-MAX(((50-ExtractCost)*Production*365-FixedOpEx-CapEx/Horizon)*Tax_Rate,0)+CapEx/Horizon)*(1-(1+0.11)^-Horizon)/0.11-CapEx</f>
        <v>-59916834.8495813</v>
      </c>
      <c r="F10" s="29" t="n">
        <f aca="false">((((60-ExtractCost)*Production*365)-FixedOpEx-CapEx/Horizon)-MAX(((60-ExtractCost)*Production*365-FixedOpEx-CapEx/Horizon)*Tax_Rate,0)+CapEx/Horizon)*(1-(1+0.11)^-Horizon)/0.11-CapEx</f>
        <v>24991167.6710471</v>
      </c>
      <c r="G10" s="29" t="n">
        <f aca="false">((((70-ExtractCost)*Production*365)-FixedOpEx-CapEx/Horizon)-MAX(((70-ExtractCost)*Production*365-FixedOpEx-CapEx/Horizon)*Tax_Rate,0)+CapEx/Horizon)*(1-(1+0.11)^-Horizon)/0.11-CapEx</f>
        <v>109899170.191676</v>
      </c>
      <c r="H10" s="29" t="n">
        <f aca="false">((((80-ExtractCost)*Production*365)-FixedOpEx-CapEx/Horizon)-MAX(((80-ExtractCost)*Production*365-FixedOpEx-CapEx/Horizon)*Tax_Rate,0)+CapEx/Horizon)*(1-(1+0.11)^-Horizon)/0.11-CapEx</f>
        <v>194807172.712304</v>
      </c>
      <c r="I10" s="29" t="n">
        <f aca="false">((((90-ExtractCost)*Production*365)-FixedOpEx-CapEx/Horizon)-MAX(((90-ExtractCost)*Production*365-FixedOpEx-CapEx/Horizon)*Tax_Rate,0)+CapEx/Horizon)*(1-(1+0.11)^-Horizon)/0.11-CapEx</f>
        <v>279715175.232932</v>
      </c>
    </row>
    <row r="11" customFormat="false" ht="15" hidden="false" customHeight="true" outlineLevel="0" collapsed="false">
      <c r="B11" s="28" t="n">
        <v>0.12</v>
      </c>
      <c r="C11" s="29" t="n">
        <f aca="false">((((30-ExtractCost)*Production*365)-FixedOpEx-CapEx/Horizon)-MAX(((30-ExtractCost)*Production*365-FixedOpEx-CapEx/Horizon)*Tax_Rate,0)+CapEx/Horizon)*(1-(1+0.12)^-Horizon)/0.12-CapEx</f>
        <v>-269360961.47518</v>
      </c>
      <c r="D11" s="29" t="n">
        <f aca="false">((((40-ExtractCost)*Production*365)-FixedOpEx-CapEx/Horizon)-MAX(((40-ExtractCost)*Production*365-FixedOpEx-CapEx/Horizon)*Tax_Rate,0)+CapEx/Horizon)*(1-(1+0.12)^-Horizon)/0.12-CapEx</f>
        <v>-166244391.206681</v>
      </c>
      <c r="E11" s="29" t="n">
        <f aca="false">((((50-ExtractCost)*Production*365)-FixedOpEx-CapEx/Horizon)-MAX(((50-ExtractCost)*Production*365-FixedOpEx-CapEx/Horizon)*Tax_Rate,0)+CapEx/Horizon)*(1-(1+0.12)^-Horizon)/0.12-CapEx</f>
        <v>-63572776.0016703</v>
      </c>
      <c r="F11" s="29" t="n">
        <f aca="false">((((60-ExtractCost)*Production*365)-FixedOpEx-CapEx/Horizon)-MAX(((60-ExtractCost)*Production*365-FixedOpEx-CapEx/Horizon)*Tax_Rate,0)+CapEx/Horizon)*(1-(1+0.12)^-Horizon)/0.12-CapEx</f>
        <v>17889314.5104434</v>
      </c>
      <c r="G11" s="29" t="n">
        <f aca="false">((((70-ExtractCost)*Production*365)-FixedOpEx-CapEx/Horizon)-MAX(((70-ExtractCost)*Production*365-FixedOpEx-CapEx/Horizon)*Tax_Rate,0)+CapEx/Horizon)*(1-(1+0.12)^-Horizon)/0.12-CapEx</f>
        <v>99351405.0225571</v>
      </c>
      <c r="H11" s="29" t="n">
        <f aca="false">((((80-ExtractCost)*Production*365)-FixedOpEx-CapEx/Horizon)-MAX(((80-ExtractCost)*Production*365-FixedOpEx-CapEx/Horizon)*Tax_Rate,0)+CapEx/Horizon)*(1-(1+0.12)^-Horizon)/0.12-CapEx</f>
        <v>180813495.534671</v>
      </c>
      <c r="I11" s="29" t="n">
        <f aca="false">((((90-ExtractCost)*Production*365)-FixedOpEx-CapEx/Horizon)-MAX(((90-ExtractCost)*Production*365-FixedOpEx-CapEx/Horizon)*Tax_Rate,0)+CapEx/Horizon)*(1-(1+0.12)^-Horizon)/0.12-CapEx</f>
        <v>262275586.046784</v>
      </c>
    </row>
    <row r="12" customFormat="false" ht="15" hidden="false" customHeight="true" outlineLevel="0" collapsed="false">
      <c r="B12" s="28" t="n">
        <v>0.13</v>
      </c>
      <c r="C12" s="29" t="n">
        <f aca="false">((((30-ExtractCost)*Production*365)-FixedOpEx-CapEx/Horizon)-MAX(((30-ExtractCost)*Production*365-FixedOpEx-CapEx/Horizon)*Tax_Rate,0)+CapEx/Horizon)*(1-(1+0.13)^-Horizon)/0.13-CapEx</f>
        <v>-264629393.429505</v>
      </c>
      <c r="D12" s="29" t="n">
        <f aca="false">((((40-ExtractCost)*Production*365)-FixedOpEx-CapEx/Horizon)-MAX(((40-ExtractCost)*Production*365-FixedOpEx-CapEx/Horizon)*Tax_Rate,0)+CapEx/Horizon)*(1-(1+0.13)^-Horizon)/0.13-CapEx</f>
        <v>-165600449.993365</v>
      </c>
      <c r="E12" s="29" t="n">
        <f aca="false">((((50-ExtractCost)*Production*365)-FixedOpEx-CapEx/Horizon)-MAX(((50-ExtractCost)*Production*365-FixedOpEx-CapEx/Horizon)*Tax_Rate,0)+CapEx/Horizon)*(1-(1+0.13)^-Horizon)/0.13-CapEx</f>
        <v>-66998823.2309557</v>
      </c>
      <c r="F12" s="29" t="n">
        <f aca="false">((((60-ExtractCost)*Production*365)-FixedOpEx-CapEx/Horizon)-MAX(((60-ExtractCost)*Production*365-FixedOpEx-CapEx/Horizon)*Tax_Rate,0)+CapEx/Horizon)*(1-(1+0.13)^-Horizon)/0.13-CapEx</f>
        <v>11234042.0835949</v>
      </c>
      <c r="G12" s="29" t="n">
        <f aca="false">((((70-ExtractCost)*Production*365)-FixedOpEx-CapEx/Horizon)-MAX(((70-ExtractCost)*Production*365-FixedOpEx-CapEx/Horizon)*Tax_Rate,0)+CapEx/Horizon)*(1-(1+0.13)^-Horizon)/0.13-CapEx</f>
        <v>89466907.3981456</v>
      </c>
      <c r="H12" s="29" t="n">
        <f aca="false">((((80-ExtractCost)*Production*365)-FixedOpEx-CapEx/Horizon)-MAX(((80-ExtractCost)*Production*365-FixedOpEx-CapEx/Horizon)*Tax_Rate,0)+CapEx/Horizon)*(1-(1+0.13)^-Horizon)/0.13-CapEx</f>
        <v>167699772.712696</v>
      </c>
      <c r="I12" s="29" t="n">
        <f aca="false">((((90-ExtractCost)*Production*365)-FixedOpEx-CapEx/Horizon)-MAX(((90-ExtractCost)*Production*365-FixedOpEx-CapEx/Horizon)*Tax_Rate,0)+CapEx/Horizon)*(1-(1+0.13)^-Horizon)/0.13-CapEx</f>
        <v>245932638.027247</v>
      </c>
    </row>
    <row r="14" customFormat="false" ht="15" hidden="false" customHeight="true" outlineLevel="0" collapsed="false">
      <c r="B14" s="30" t="s">
        <v>105</v>
      </c>
    </row>
    <row r="15" customFormat="false" ht="15" hidden="false" customHeight="true" outlineLevel="0" collapsed="false">
      <c r="B15" s="12" t="s">
        <v>106</v>
      </c>
    </row>
    <row r="16" customFormat="false" ht="15" hidden="false" customHeight="true" outlineLevel="0" collapsed="false">
      <c r="B16" s="12" t="s">
        <v>107</v>
      </c>
    </row>
    <row r="17" customFormat="false" ht="15" hidden="false" customHeight="true" outlineLevel="0" collapsed="false">
      <c r="B17" s="12" t="s">
        <v>108</v>
      </c>
    </row>
    <row r="18" customFormat="false" ht="15" hidden="false" customHeight="true" outlineLevel="0" collapsed="false">
      <c r="B18" s="12" t="s">
        <v>109</v>
      </c>
    </row>
  </sheetData>
  <conditionalFormatting sqref="C6:I12">
    <cfRule type="colorScale" priority="2">
      <colorScale>
        <cfvo type="num" val="-300000000"/>
        <cfvo type="num" val="0"/>
        <cfvo type="num" val="4000000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1" width="11"/>
  </cols>
  <sheetData>
    <row r="2" customFormat="false" ht="17.25" hidden="false" customHeight="true" outlineLevel="0" collapsed="false">
      <c r="B2" s="4" t="s">
        <v>110</v>
      </c>
    </row>
    <row r="3" customFormat="false" ht="15" hidden="false" customHeight="true" outlineLevel="0" collapsed="false">
      <c r="B3" s="13" t="s">
        <v>111</v>
      </c>
    </row>
    <row r="5" customFormat="false" ht="15" hidden="false" customHeight="true" outlineLevel="0" collapsed="false">
      <c r="B5" s="9" t="s">
        <v>112</v>
      </c>
      <c r="C5" s="31" t="n">
        <v>-0.5</v>
      </c>
      <c r="D5" s="31" t="n">
        <v>-0.4</v>
      </c>
      <c r="E5" s="31" t="n">
        <v>-0.3</v>
      </c>
      <c r="F5" s="31" t="n">
        <v>-0.2</v>
      </c>
      <c r="G5" s="31" t="n">
        <v>-0.1</v>
      </c>
      <c r="H5" s="31" t="n">
        <v>0</v>
      </c>
      <c r="I5" s="31" t="n">
        <v>0.1</v>
      </c>
      <c r="J5" s="31" t="n">
        <v>0.2</v>
      </c>
      <c r="K5" s="31" t="n">
        <v>0.3</v>
      </c>
      <c r="L5" s="31" t="n">
        <v>0.4</v>
      </c>
      <c r="M5" s="31" t="n">
        <v>0.5</v>
      </c>
    </row>
    <row r="6" customFormat="false" ht="15" hidden="false" customHeight="true" outlineLevel="0" collapsed="false">
      <c r="B6" s="32" t="n">
        <v>0</v>
      </c>
      <c r="C6" s="33" t="n">
        <f aca="false">(((30-ExtractCost)*Production*365-FixedOpEx-CapEx/Horizon)-MAX(((30-ExtractCost)*Production*365-FixedOpEx-CapEx/Horizon)*Tax_Rate,0)+CapEx/Horizon)*(1-(1+0.0935)^-Horizon)/0.0935-CapEx</f>
        <v>-283509174.476771</v>
      </c>
      <c r="D6" s="33" t="n">
        <f aca="false">(((36-ExtractCost)*Production*365-FixedOpEx-CapEx/Horizon)-MAX(((36-ExtractCost)*Production*365-FixedOpEx-CapEx/Horizon)*Tax_Rate,0)+CapEx/Horizon)*(1-(1+0.0935)^-Horizon)/0.0935-CapEx</f>
        <v>-214305602.381119</v>
      </c>
      <c r="E6" s="33" t="n">
        <f aca="false">(((42-ExtractCost)*Production*365-FixedOpEx-CapEx/Horizon)-MAX(((42-ExtractCost)*Production*365-FixedOpEx-CapEx/Horizon)*Tax_Rate,0)+CapEx/Horizon)*(1-(1+0.0935)^-Horizon)/0.0935-CapEx</f>
        <v>-145102030.285468</v>
      </c>
      <c r="F6" s="33" t="n">
        <f aca="false">(((48-ExtractCost)*Production*365-FixedOpEx-CapEx/Horizon)-MAX(((48-ExtractCost)*Production*365-FixedOpEx-CapEx/Horizon)*Tax_Rate,0)+CapEx/Horizon)*(1-(1+0.0935)^-Horizon)/0.0935-CapEx</f>
        <v>-75898458.1898157</v>
      </c>
      <c r="G6" s="33" t="n">
        <f aca="false">(((54-ExtractCost)*Production*365-FixedOpEx-CapEx/Horizon)-MAX(((54-ExtractCost)*Production*365-FixedOpEx-CapEx/Horizon)*Tax_Rate,0)+CapEx/Horizon)*(1-(1+0.0935)^-Horizon)/0.0935-CapEx</f>
        <v>-16881083.1101608</v>
      </c>
      <c r="H6" s="33" t="n">
        <f aca="false">(((60-ExtractCost)*Production*365-FixedOpEx-CapEx/Horizon)-MAX(((60-ExtractCost)*Production*365-FixedOpEx-CapEx/Horizon)*Tax_Rate,0)+CapEx/Horizon)*(1-(1+0.0935)^-Horizon)/0.0935-CapEx</f>
        <v>37789738.8454042</v>
      </c>
      <c r="I6" s="33" t="n">
        <f aca="false">(((66-ExtractCost)*Production*365-FixedOpEx-CapEx/Horizon)-MAX(((66-ExtractCost)*Production*365-FixedOpEx-CapEx/Horizon)*Tax_Rate,0)+CapEx/Horizon)*(1-(1+0.0935)^-Horizon)/0.0935-CapEx</f>
        <v>92460560.8009692</v>
      </c>
      <c r="J6" s="33" t="n">
        <f aca="false">(((72-ExtractCost)*Production*365-FixedOpEx-CapEx/Horizon)-MAX(((72-ExtractCost)*Production*365-FixedOpEx-CapEx/Horizon)*Tax_Rate,0)+CapEx/Horizon)*(1-(1+0.0935)^-Horizon)/0.0935-CapEx</f>
        <v>147131382.756534</v>
      </c>
      <c r="K6" s="33" t="n">
        <f aca="false">(((78-ExtractCost)*Production*365-FixedOpEx-CapEx/Horizon)-MAX(((78-ExtractCost)*Production*365-FixedOpEx-CapEx/Horizon)*Tax_Rate,0)+CapEx/Horizon)*(1-(1+0.0935)^-Horizon)/0.0935-CapEx</f>
        <v>201802204.712099</v>
      </c>
      <c r="L6" s="33" t="n">
        <f aca="false">(((84-ExtractCost)*Production*365-FixedOpEx-CapEx/Horizon)-MAX(((84-ExtractCost)*Production*365-FixedOpEx-CapEx/Horizon)*Tax_Rate,0)+CapEx/Horizon)*(1-(1+0.0935)^-Horizon)/0.0935-CapEx</f>
        <v>256473026.667664</v>
      </c>
      <c r="M6" s="33" t="n">
        <f aca="false">(((90-ExtractCost)*Production*365-FixedOpEx-CapEx/Horizon)-MAX(((90-ExtractCost)*Production*365-FixedOpEx-CapEx/Horizon)*Tax_Rate,0)+CapEx/Horizon)*(1-(1+0.0935)^-Horizon)/0.0935-CapEx</f>
        <v>311143848.623229</v>
      </c>
    </row>
    <row r="7" customFormat="false" ht="15" hidden="false" customHeight="true" outlineLevel="0" collapsed="false">
      <c r="B7" s="32" t="n">
        <v>0.005</v>
      </c>
      <c r="C7" s="33" t="n">
        <f aca="false">(((30-ExtractCost)*Production*365-FixedOpEx-CapEx/Horizon)-MAX(((30-ExtractCost)*Production*365-FixedOpEx-CapEx/Horizon)*Tax_Rate,0)+CapEx/Horizon)*(1-(1+0.0985)^-Horizon)/0.0985-CapEx</f>
        <v>-280644646.924423</v>
      </c>
      <c r="D7" s="33" t="n">
        <f aca="false">(((36-ExtractCost)*Production*365-FixedOpEx-CapEx/Horizon)-MAX(((36-ExtractCost)*Production*365-FixedOpEx-CapEx/Horizon)*Tax_Rate,0)+CapEx/Horizon)*(1-(1+0.0985)^-Horizon)/0.0985-CapEx</f>
        <v>-212925883.193184</v>
      </c>
      <c r="E7" s="33" t="n">
        <f aca="false">(((42-ExtractCost)*Production*365-FixedOpEx-CapEx/Horizon)-MAX(((42-ExtractCost)*Production*365-FixedOpEx-CapEx/Horizon)*Tax_Rate,0)+CapEx/Horizon)*(1-(1+0.0985)^-Horizon)/0.0985-CapEx</f>
        <v>-145207119.461944</v>
      </c>
      <c r="F7" s="33" t="n">
        <f aca="false">(((48-ExtractCost)*Production*365-FixedOpEx-CapEx/Horizon)-MAX(((48-ExtractCost)*Production*365-FixedOpEx-CapEx/Horizon)*Tax_Rate,0)+CapEx/Horizon)*(1-(1+0.0985)^-Horizon)/0.0985-CapEx</f>
        <v>-77488355.7307048</v>
      </c>
      <c r="G7" s="33" t="n">
        <f aca="false">(((54-ExtractCost)*Production*365-FixedOpEx-CapEx/Horizon)-MAX(((54-ExtractCost)*Production*365-FixedOpEx-CapEx/Horizon)*Tax_Rate,0)+CapEx/Horizon)*(1-(1+0.0985)^-Horizon)/0.0985-CapEx</f>
        <v>-19737237.4281253</v>
      </c>
      <c r="H7" s="33" t="n">
        <f aca="false">(((60-ExtractCost)*Production*365-FixedOpEx-CapEx/Horizon)-MAX(((60-ExtractCost)*Production*365-FixedOpEx-CapEx/Horizon)*Tax_Rate,0)+CapEx/Horizon)*(1-(1+0.0985)^-Horizon)/0.0985-CapEx</f>
        <v>33760585.9195538</v>
      </c>
      <c r="I7" s="33" t="n">
        <f aca="false">(((66-ExtractCost)*Production*365-FixedOpEx-CapEx/Horizon)-MAX(((66-ExtractCost)*Production*365-FixedOpEx-CapEx/Horizon)*Tax_Rate,0)+CapEx/Horizon)*(1-(1+0.0985)^-Horizon)/0.0985-CapEx</f>
        <v>87258409.267233</v>
      </c>
      <c r="J7" s="33" t="n">
        <f aca="false">(((72-ExtractCost)*Production*365-FixedOpEx-CapEx/Horizon)-MAX(((72-ExtractCost)*Production*365-FixedOpEx-CapEx/Horizon)*Tax_Rate,0)+CapEx/Horizon)*(1-(1+0.0985)^-Horizon)/0.0985-CapEx</f>
        <v>140756232.614912</v>
      </c>
      <c r="K7" s="33" t="n">
        <f aca="false">(((78-ExtractCost)*Production*365-FixedOpEx-CapEx/Horizon)-MAX(((78-ExtractCost)*Production*365-FixedOpEx-CapEx/Horizon)*Tax_Rate,0)+CapEx/Horizon)*(1-(1+0.0985)^-Horizon)/0.0985-CapEx</f>
        <v>194254055.962591</v>
      </c>
      <c r="L7" s="33" t="n">
        <f aca="false">(((84-ExtractCost)*Production*365-FixedOpEx-CapEx/Horizon)-MAX(((84-ExtractCost)*Production*365-FixedOpEx-CapEx/Horizon)*Tax_Rate,0)+CapEx/Horizon)*(1-(1+0.0985)^-Horizon)/0.0985-CapEx</f>
        <v>247751879.31027</v>
      </c>
      <c r="M7" s="33" t="n">
        <f aca="false">(((90-ExtractCost)*Production*365-FixedOpEx-CapEx/Horizon)-MAX(((90-ExtractCost)*Production*365-FixedOpEx-CapEx/Horizon)*Tax_Rate,0)+CapEx/Horizon)*(1-(1+0.0985)^-Horizon)/0.0985-CapEx</f>
        <v>301249702.65795</v>
      </c>
    </row>
    <row r="8" customFormat="false" ht="15" hidden="false" customHeight="true" outlineLevel="0" collapsed="false">
      <c r="B8" s="32" t="n">
        <v>0.01</v>
      </c>
      <c r="C8" s="33" t="n">
        <f aca="false">(((30-ExtractCost)*Production*365-FixedOpEx-CapEx/Horizon)-MAX(((30-ExtractCost)*Production*365-FixedOpEx-CapEx/Horizon)*Tax_Rate,0)+CapEx/Horizon)*(1-(1+0.1035)^-Horizon)/0.1035-CapEx</f>
        <v>-277875038.672896</v>
      </c>
      <c r="D8" s="33" t="n">
        <f aca="false">(((36-ExtractCost)*Production*365-FixedOpEx-CapEx/Horizon)-MAX(((36-ExtractCost)*Production*365-FixedOpEx-CapEx/Horizon)*Tax_Rate,0)+CapEx/Horizon)*(1-(1+0.1035)^-Horizon)/0.1035-CapEx</f>
        <v>-211591882.532389</v>
      </c>
      <c r="E8" s="33" t="n">
        <f aca="false">(((42-ExtractCost)*Production*365-FixedOpEx-CapEx/Horizon)-MAX(((42-ExtractCost)*Production*365-FixedOpEx-CapEx/Horizon)*Tax_Rate,0)+CapEx/Horizon)*(1-(1+0.1035)^-Horizon)/0.1035-CapEx</f>
        <v>-145308726.391882</v>
      </c>
      <c r="F8" s="33" t="n">
        <f aca="false">(((48-ExtractCost)*Production*365-FixedOpEx-CapEx/Horizon)-MAX(((48-ExtractCost)*Production*365-FixedOpEx-CapEx/Horizon)*Tax_Rate,0)+CapEx/Horizon)*(1-(1+0.1035)^-Horizon)/0.1035-CapEx</f>
        <v>-79025570.2513751</v>
      </c>
      <c r="G8" s="33" t="n">
        <f aca="false">(((54-ExtractCost)*Production*365-FixedOpEx-CapEx/Horizon)-MAX(((54-ExtractCost)*Production*365-FixedOpEx-CapEx/Horizon)*Tax_Rate,0)+CapEx/Horizon)*(1-(1+0.1035)^-Horizon)/0.1035-CapEx</f>
        <v>-22498749.9016867</v>
      </c>
      <c r="H8" s="33" t="n">
        <f aca="false">(((60-ExtractCost)*Production*365-FixedOpEx-CapEx/Horizon)-MAX(((60-ExtractCost)*Production*365-FixedOpEx-CapEx/Horizon)*Tax_Rate,0)+CapEx/Horizon)*(1-(1+0.1035)^-Horizon)/0.1035-CapEx</f>
        <v>29864943.4493137</v>
      </c>
      <c r="I8" s="33" t="n">
        <f aca="false">(((66-ExtractCost)*Production*365-FixedOpEx-CapEx/Horizon)-MAX(((66-ExtractCost)*Production*365-FixedOpEx-CapEx/Horizon)*Tax_Rate,0)+CapEx/Horizon)*(1-(1+0.1035)^-Horizon)/0.1035-CapEx</f>
        <v>82228636.8003141</v>
      </c>
      <c r="J8" s="33" t="n">
        <f aca="false">(((72-ExtractCost)*Production*365-FixedOpEx-CapEx/Horizon)-MAX(((72-ExtractCost)*Production*365-FixedOpEx-CapEx/Horizon)*Tax_Rate,0)+CapEx/Horizon)*(1-(1+0.1035)^-Horizon)/0.1035-CapEx</f>
        <v>134592330.151315</v>
      </c>
      <c r="K8" s="33" t="n">
        <f aca="false">(((78-ExtractCost)*Production*365-FixedOpEx-CapEx/Horizon)-MAX(((78-ExtractCost)*Production*365-FixedOpEx-CapEx/Horizon)*Tax_Rate,0)+CapEx/Horizon)*(1-(1+0.1035)^-Horizon)/0.1035-CapEx</f>
        <v>186956023.502315</v>
      </c>
      <c r="L8" s="33" t="n">
        <f aca="false">(((84-ExtractCost)*Production*365-FixedOpEx-CapEx/Horizon)-MAX(((84-ExtractCost)*Production*365-FixedOpEx-CapEx/Horizon)*Tax_Rate,0)+CapEx/Horizon)*(1-(1+0.1035)^-Horizon)/0.1035-CapEx</f>
        <v>239319716.853315</v>
      </c>
      <c r="M8" s="33" t="n">
        <f aca="false">(((90-ExtractCost)*Production*365-FixedOpEx-CapEx/Horizon)-MAX(((90-ExtractCost)*Production*365-FixedOpEx-CapEx/Horizon)*Tax_Rate,0)+CapEx/Horizon)*(1-(1+0.1035)^-Horizon)/0.1035-CapEx</f>
        <v>291683410.204316</v>
      </c>
    </row>
    <row r="9" customFormat="false" ht="15" hidden="false" customHeight="true" outlineLevel="0" collapsed="false">
      <c r="B9" s="32" t="n">
        <v>0.015</v>
      </c>
      <c r="C9" s="33" t="n">
        <f aca="false">(((30-ExtractCost)*Production*365-FixedOpEx-CapEx/Horizon)-MAX(((30-ExtractCost)*Production*365-FixedOpEx-CapEx/Horizon)*Tax_Rate,0)+CapEx/Horizon)*(1-(1+0.1085)^-Horizon)/0.1085-CapEx</f>
        <v>-275196427.910226</v>
      </c>
      <c r="D9" s="33" t="n">
        <f aca="false">(((36-ExtractCost)*Production*365-FixedOpEx-CapEx/Horizon)-MAX(((36-ExtractCost)*Production*365-FixedOpEx-CapEx/Horizon)*Tax_Rate,0)+CapEx/Horizon)*(1-(1+0.1085)^-Horizon)/0.1085-CapEx</f>
        <v>-210301711.431316</v>
      </c>
      <c r="E9" s="33" t="n">
        <f aca="false">(((42-ExtractCost)*Production*365-FixedOpEx-CapEx/Horizon)-MAX(((42-ExtractCost)*Production*365-FixedOpEx-CapEx/Horizon)*Tax_Rate,0)+CapEx/Horizon)*(1-(1+0.1085)^-Horizon)/0.1085-CapEx</f>
        <v>-145406994.952406</v>
      </c>
      <c r="F9" s="33" t="n">
        <f aca="false">(((48-ExtractCost)*Production*365-FixedOpEx-CapEx/Horizon)-MAX(((48-ExtractCost)*Production*365-FixedOpEx-CapEx/Horizon)*Tax_Rate,0)+CapEx/Horizon)*(1-(1+0.1085)^-Horizon)/0.1085-CapEx</f>
        <v>-80512278.4734961</v>
      </c>
      <c r="G9" s="33" t="n">
        <f aca="false">(((54-ExtractCost)*Production*365-FixedOpEx-CapEx/Horizon)-MAX(((54-ExtractCost)*Production*365-FixedOpEx-CapEx/Horizon)*Tax_Rate,0)+CapEx/Horizon)*(1-(1+0.1085)^-Horizon)/0.1085-CapEx</f>
        <v>-25169530.8790504</v>
      </c>
      <c r="H9" s="33" t="n">
        <f aca="false">(((60-ExtractCost)*Production*365-FixedOpEx-CapEx/Horizon)-MAX(((60-ExtractCost)*Production*365-FixedOpEx-CapEx/Horizon)*Tax_Rate,0)+CapEx/Horizon)*(1-(1+0.1085)^-Horizon)/0.1085-CapEx</f>
        <v>26097295.1392883</v>
      </c>
      <c r="I9" s="33" t="n">
        <f aca="false">(((66-ExtractCost)*Production*365-FixedOpEx-CapEx/Horizon)-MAX(((66-ExtractCost)*Production*365-FixedOpEx-CapEx/Horizon)*Tax_Rate,0)+CapEx/Horizon)*(1-(1+0.1085)^-Horizon)/0.1085-CapEx</f>
        <v>77364121.1576271</v>
      </c>
      <c r="J9" s="33" t="n">
        <f aca="false">(((72-ExtractCost)*Production*365-FixedOpEx-CapEx/Horizon)-MAX(((72-ExtractCost)*Production*365-FixedOpEx-CapEx/Horizon)*Tax_Rate,0)+CapEx/Horizon)*(1-(1+0.1085)^-Horizon)/0.1085-CapEx</f>
        <v>128630947.175966</v>
      </c>
      <c r="K9" s="33" t="n">
        <f aca="false">(((78-ExtractCost)*Production*365-FixedOpEx-CapEx/Horizon)-MAX(((78-ExtractCost)*Production*365-FixedOpEx-CapEx/Horizon)*Tax_Rate,0)+CapEx/Horizon)*(1-(1+0.1085)^-Horizon)/0.1085-CapEx</f>
        <v>179897773.194305</v>
      </c>
      <c r="L9" s="33" t="n">
        <f aca="false">(((84-ExtractCost)*Production*365-FixedOpEx-CapEx/Horizon)-MAX(((84-ExtractCost)*Production*365-FixedOpEx-CapEx/Horizon)*Tax_Rate,0)+CapEx/Horizon)*(1-(1+0.1085)^-Horizon)/0.1085-CapEx</f>
        <v>231164599.212643</v>
      </c>
      <c r="M9" s="33" t="n">
        <f aca="false">(((90-ExtractCost)*Production*365-FixedOpEx-CapEx/Horizon)-MAX(((90-ExtractCost)*Production*365-FixedOpEx-CapEx/Horizon)*Tax_Rate,0)+CapEx/Horizon)*(1-(1+0.1085)^-Horizon)/0.1085-CapEx</f>
        <v>282431425.230982</v>
      </c>
    </row>
    <row r="10" customFormat="false" ht="15" hidden="false" customHeight="true" outlineLevel="0" collapsed="false">
      <c r="B10" s="32" t="n">
        <v>0.02</v>
      </c>
      <c r="C10" s="33" t="n">
        <f aca="false">(((30-ExtractCost)*Production*365-FixedOpEx-CapEx/Horizon)-MAX(((30-ExtractCost)*Production*365-FixedOpEx-CapEx/Horizon)*Tax_Rate,0)+CapEx/Horizon)*(1-(1+0.1135)^-Horizon)/0.1135-CapEx</f>
        <v>-272605080.74259</v>
      </c>
      <c r="D10" s="33" t="n">
        <f aca="false">(((36-ExtractCost)*Production*365-FixedOpEx-CapEx/Horizon)-MAX(((36-ExtractCost)*Production*365-FixedOpEx-CapEx/Horizon)*Tax_Rate,0)+CapEx/Horizon)*(1-(1+0.1135)^-Horizon)/0.1135-CapEx</f>
        <v>-209053571.434596</v>
      </c>
      <c r="E10" s="33" t="n">
        <f aca="false">(((42-ExtractCost)*Production*365-FixedOpEx-CapEx/Horizon)-MAX(((42-ExtractCost)*Production*365-FixedOpEx-CapEx/Horizon)*Tax_Rate,0)+CapEx/Horizon)*(1-(1+0.1135)^-Horizon)/0.1135-CapEx</f>
        <v>-145502062.126603</v>
      </c>
      <c r="F10" s="33" t="n">
        <f aca="false">(((48-ExtractCost)*Production*365-FixedOpEx-CapEx/Horizon)-MAX(((48-ExtractCost)*Production*365-FixedOpEx-CapEx/Horizon)*Tax_Rate,0)+CapEx/Horizon)*(1-(1+0.1135)^-Horizon)/0.1135-CapEx</f>
        <v>-81950552.81861</v>
      </c>
      <c r="G10" s="33" t="n">
        <f aca="false">(((54-ExtractCost)*Production*365-FixedOpEx-CapEx/Horizon)-MAX(((54-ExtractCost)*Production*365-FixedOpEx-CapEx/Horizon)*Tax_Rate,0)+CapEx/Horizon)*(1-(1+0.1135)^-Horizon)/0.1135-CapEx</f>
        <v>-27753303.3395809</v>
      </c>
      <c r="H10" s="33" t="n">
        <f aca="false">(((60-ExtractCost)*Production*365-FixedOpEx-CapEx/Horizon)-MAX(((60-ExtractCost)*Production*365-FixedOpEx-CapEx/Horizon)*Tax_Rate,0)+CapEx/Horizon)*(1-(1+0.1135)^-Horizon)/0.1135-CapEx</f>
        <v>22452389.0137337</v>
      </c>
      <c r="I10" s="33" t="n">
        <f aca="false">(((66-ExtractCost)*Production*365-FixedOpEx-CapEx/Horizon)-MAX(((66-ExtractCost)*Production*365-FixedOpEx-CapEx/Horizon)*Tax_Rate,0)+CapEx/Horizon)*(1-(1+0.1135)^-Horizon)/0.1135-CapEx</f>
        <v>72658081.3670484</v>
      </c>
      <c r="J10" s="33" t="n">
        <f aca="false">(((72-ExtractCost)*Production*365-FixedOpEx-CapEx/Horizon)-MAX(((72-ExtractCost)*Production*365-FixedOpEx-CapEx/Horizon)*Tax_Rate,0)+CapEx/Horizon)*(1-(1+0.1135)^-Horizon)/0.1135-CapEx</f>
        <v>122863773.720363</v>
      </c>
      <c r="K10" s="33" t="n">
        <f aca="false">(((78-ExtractCost)*Production*365-FixedOpEx-CapEx/Horizon)-MAX(((78-ExtractCost)*Production*365-FixedOpEx-CapEx/Horizon)*Tax_Rate,0)+CapEx/Horizon)*(1-(1+0.1135)^-Horizon)/0.1135-CapEx</f>
        <v>173069466.073678</v>
      </c>
      <c r="L10" s="33" t="n">
        <f aca="false">(((84-ExtractCost)*Production*365-FixedOpEx-CapEx/Horizon)-MAX(((84-ExtractCost)*Production*365-FixedOpEx-CapEx/Horizon)*Tax_Rate,0)+CapEx/Horizon)*(1-(1+0.1135)^-Horizon)/0.1135-CapEx</f>
        <v>223275158.426992</v>
      </c>
      <c r="M10" s="33" t="n">
        <f aca="false">(((90-ExtractCost)*Production*365-FixedOpEx-CapEx/Horizon)-MAX(((90-ExtractCost)*Production*365-FixedOpEx-CapEx/Horizon)*Tax_Rate,0)+CapEx/Horizon)*(1-(1+0.1135)^-Horizon)/0.1135-CapEx</f>
        <v>273480850.780307</v>
      </c>
    </row>
    <row r="11" customFormat="false" ht="15" hidden="false" customHeight="true" outlineLevel="0" collapsed="false">
      <c r="B11" s="32" t="n">
        <v>0.025</v>
      </c>
      <c r="C11" s="33" t="n">
        <f aca="false">(((30-ExtractCost)*Production*365-FixedOpEx-CapEx/Horizon)-MAX(((30-ExtractCost)*Production*365-FixedOpEx-CapEx/Horizon)*Tax_Rate,0)+CapEx/Horizon)*(1-(1+0.1185)^-Horizon)/0.1185-CapEx</f>
        <v>-270097441.10819</v>
      </c>
      <c r="D11" s="33" t="n">
        <f aca="false">(((36-ExtractCost)*Production*365-FixedOpEx-CapEx/Horizon)-MAX(((36-ExtractCost)*Production*365-FixedOpEx-CapEx/Horizon)*Tax_Rate,0)+CapEx/Horizon)*(1-(1+0.1185)^-Horizon)/0.1185-CapEx</f>
        <v>-207845749.740868</v>
      </c>
      <c r="E11" s="33" t="n">
        <f aca="false">(((42-ExtractCost)*Production*365-FixedOpEx-CapEx/Horizon)-MAX(((42-ExtractCost)*Production*365-FixedOpEx-CapEx/Horizon)*Tax_Rate,0)+CapEx/Horizon)*(1-(1+0.1185)^-Horizon)/0.1185-CapEx</f>
        <v>-145594058.373546</v>
      </c>
      <c r="F11" s="33" t="n">
        <f aca="false">(((48-ExtractCost)*Production*365-FixedOpEx-CapEx/Horizon)-MAX(((48-ExtractCost)*Production*365-FixedOpEx-CapEx/Horizon)*Tax_Rate,0)+CapEx/Horizon)*(1-(1+0.1185)^-Horizon)/0.1185-CapEx</f>
        <v>-83342367.0062237</v>
      </c>
      <c r="G11" s="33" t="n">
        <f aca="false">(((54-ExtractCost)*Production*365-FixedOpEx-CapEx/Horizon)-MAX(((54-ExtractCost)*Production*365-FixedOpEx-CapEx/Horizon)*Tax_Rate,0)+CapEx/Horizon)*(1-(1+0.1185)^-Horizon)/0.1185-CapEx</f>
        <v>-30253612.9504341</v>
      </c>
      <c r="H11" s="33" t="n">
        <f aca="false">(((60-ExtractCost)*Production*365-FixedOpEx-CapEx/Horizon)-MAX(((60-ExtractCost)*Production*365-FixedOpEx-CapEx/Horizon)*Tax_Rate,0)+CapEx/Horizon)*(1-(1+0.1185)^-Horizon)/0.1185-CapEx</f>
        <v>18925223.2297503</v>
      </c>
      <c r="I11" s="33" t="n">
        <f aca="false">(((66-ExtractCost)*Production*365-FixedOpEx-CapEx/Horizon)-MAX(((66-ExtractCost)*Production*365-FixedOpEx-CapEx/Horizon)*Tax_Rate,0)+CapEx/Horizon)*(1-(1+0.1185)^-Horizon)/0.1185-CapEx</f>
        <v>68104059.4099347</v>
      </c>
      <c r="J11" s="33" t="n">
        <f aca="false">(((72-ExtractCost)*Production*365-FixedOpEx-CapEx/Horizon)-MAX(((72-ExtractCost)*Production*365-FixedOpEx-CapEx/Horizon)*Tax_Rate,0)+CapEx/Horizon)*(1-(1+0.1185)^-Horizon)/0.1185-CapEx</f>
        <v>117282895.590119</v>
      </c>
      <c r="K11" s="33" t="n">
        <f aca="false">(((78-ExtractCost)*Production*365-FixedOpEx-CapEx/Horizon)-MAX(((78-ExtractCost)*Production*365-FixedOpEx-CapEx/Horizon)*Tax_Rate,0)+CapEx/Horizon)*(1-(1+0.1185)^-Horizon)/0.1185-CapEx</f>
        <v>166461731.770304</v>
      </c>
      <c r="L11" s="33" t="n">
        <f aca="false">(((84-ExtractCost)*Production*365-FixedOpEx-CapEx/Horizon)-MAX(((84-ExtractCost)*Production*365-FixedOpEx-CapEx/Horizon)*Tax_Rate,0)+CapEx/Horizon)*(1-(1+0.1185)^-Horizon)/0.1185-CapEx</f>
        <v>215640567.950488</v>
      </c>
      <c r="M11" s="33" t="n">
        <f aca="false">(((90-ExtractCost)*Production*365-FixedOpEx-CapEx/Horizon)-MAX(((90-ExtractCost)*Production*365-FixedOpEx-CapEx/Horizon)*Tax_Rate,0)+CapEx/Horizon)*(1-(1+0.1185)^-Horizon)/0.1185-CapEx</f>
        <v>264819404.130672</v>
      </c>
    </row>
    <row r="12" customFormat="false" ht="15" hidden="false" customHeight="true" outlineLevel="0" collapsed="false">
      <c r="B12" s="32" t="n">
        <v>0.03</v>
      </c>
      <c r="C12" s="33" t="n">
        <f aca="false">(((30-ExtractCost)*Production*365-FixedOpEx-CapEx/Horizon)-MAX(((30-ExtractCost)*Production*365-FixedOpEx-CapEx/Horizon)*Tax_Rate,0)+CapEx/Horizon)*(1-(1+0.1235)^-Horizon)/0.1235-CapEx</f>
        <v>-267670121.285469</v>
      </c>
      <c r="D12" s="33" t="n">
        <f aca="false">(((36-ExtractCost)*Production*365-FixedOpEx-CapEx/Horizon)-MAX(((36-ExtractCost)*Production*365-FixedOpEx-CapEx/Horizon)*Tax_Rate,0)+CapEx/Horizon)*(1-(1+0.1235)^-Horizon)/0.1235-CapEx</f>
        <v>-206676614.630989</v>
      </c>
      <c r="E12" s="33" t="n">
        <f aca="false">(((42-ExtractCost)*Production*365-FixedOpEx-CapEx/Horizon)-MAX(((42-ExtractCost)*Production*365-FixedOpEx-CapEx/Horizon)*Tax_Rate,0)+CapEx/Horizon)*(1-(1+0.1235)^-Horizon)/0.1235-CapEx</f>
        <v>-145683107.976509</v>
      </c>
      <c r="F12" s="33" t="n">
        <f aca="false">(((48-ExtractCost)*Production*365-FixedOpEx-CapEx/Horizon)-MAX(((48-ExtractCost)*Production*365-FixedOpEx-CapEx/Horizon)*Tax_Rate,0)+CapEx/Horizon)*(1-(1+0.1235)^-Horizon)/0.1235-CapEx</f>
        <v>-84689601.3220297</v>
      </c>
      <c r="G12" s="33" t="n">
        <f aca="false">(((54-ExtractCost)*Production*365-FixedOpEx-CapEx/Horizon)-MAX(((54-ExtractCost)*Production*365-FixedOpEx-CapEx/Horizon)*Tax_Rate,0)+CapEx/Horizon)*(1-(1+0.1235)^-Horizon)/0.1235-CapEx</f>
        <v>-32673837.5305964</v>
      </c>
      <c r="H12" s="33" t="n">
        <f aca="false">(((60-ExtractCost)*Production*365-FixedOpEx-CapEx/Horizon)-MAX(((60-ExtractCost)*Production*365-FixedOpEx-CapEx/Horizon)*Tax_Rate,0)+CapEx/Horizon)*(1-(1+0.1235)^-Horizon)/0.1235-CapEx</f>
        <v>15511032.7264426</v>
      </c>
      <c r="I12" s="33" t="n">
        <f aca="false">(((66-ExtractCost)*Production*365-FixedOpEx-CapEx/Horizon)-MAX(((66-ExtractCost)*Production*365-FixedOpEx-CapEx/Horizon)*Tax_Rate,0)+CapEx/Horizon)*(1-(1+0.1235)^-Horizon)/0.1235-CapEx</f>
        <v>63695902.9834816</v>
      </c>
      <c r="J12" s="33" t="n">
        <f aca="false">(((72-ExtractCost)*Production*365-FixedOpEx-CapEx/Horizon)-MAX(((72-ExtractCost)*Production*365-FixedOpEx-CapEx/Horizon)*Tax_Rate,0)+CapEx/Horizon)*(1-(1+0.1235)^-Horizon)/0.1235-CapEx</f>
        <v>111880773.240521</v>
      </c>
      <c r="K12" s="33" t="n">
        <f aca="false">(((78-ExtractCost)*Production*365-FixedOpEx-CapEx/Horizon)-MAX(((78-ExtractCost)*Production*365-FixedOpEx-CapEx/Horizon)*Tax_Rate,0)+CapEx/Horizon)*(1-(1+0.1235)^-Horizon)/0.1235-CapEx</f>
        <v>160065643.49756</v>
      </c>
      <c r="L12" s="33" t="n">
        <f aca="false">(((84-ExtractCost)*Production*365-FixedOpEx-CapEx/Horizon)-MAX(((84-ExtractCost)*Production*365-FixedOpEx-CapEx/Horizon)*Tax_Rate,0)+CapEx/Horizon)*(1-(1+0.1235)^-Horizon)/0.1235-CapEx</f>
        <v>208250513.754598</v>
      </c>
      <c r="M12" s="33" t="n">
        <f aca="false">(((90-ExtractCost)*Production*365-FixedOpEx-CapEx/Horizon)-MAX(((90-ExtractCost)*Production*365-FixedOpEx-CapEx/Horizon)*Tax_Rate,0)+CapEx/Horizon)*(1-(1+0.1235)^-Horizon)/0.1235-CapEx</f>
        <v>256435384.011637</v>
      </c>
    </row>
    <row r="13" customFormat="false" ht="15" hidden="false" customHeight="true" outlineLevel="0" collapsed="false">
      <c r="B13" s="32" t="n">
        <v>0.035</v>
      </c>
      <c r="C13" s="33" t="n">
        <f aca="false">(((30-ExtractCost)*Production*365-FixedOpEx-CapEx/Horizon)-MAX(((30-ExtractCost)*Production*365-FixedOpEx-CapEx/Horizon)*Tax_Rate,0)+CapEx/Horizon)*(1-(1+0.1285)^-Horizon)/0.1285-CapEx</f>
        <v>-265319892.957714</v>
      </c>
      <c r="D13" s="33" t="n">
        <f aca="false">(((36-ExtractCost)*Production*365-FixedOpEx-CapEx/Horizon)-MAX(((36-ExtractCost)*Production*365-FixedOpEx-CapEx/Horizon)*Tax_Rate,0)+CapEx/Horizon)*(1-(1+0.1285)^-Horizon)/0.1285-CapEx</f>
        <v>-205544611.164248</v>
      </c>
      <c r="E13" s="33" t="n">
        <f aca="false">(((42-ExtractCost)*Production*365-FixedOpEx-CapEx/Horizon)-MAX(((42-ExtractCost)*Production*365-FixedOpEx-CapEx/Horizon)*Tax_Rate,0)+CapEx/Horizon)*(1-(1+0.1285)^-Horizon)/0.1285-CapEx</f>
        <v>-145769329.370782</v>
      </c>
      <c r="F13" s="33" t="n">
        <f aca="false">(((48-ExtractCost)*Production*365-FixedOpEx-CapEx/Horizon)-MAX(((48-ExtractCost)*Production*365-FixedOpEx-CapEx/Horizon)*Tax_Rate,0)+CapEx/Horizon)*(1-(1+0.1285)^-Horizon)/0.1285-CapEx</f>
        <v>-85994047.5773161</v>
      </c>
      <c r="G13" s="33" t="n">
        <f aca="false">(((54-ExtractCost)*Production*365-FixedOpEx-CapEx/Horizon)-MAX(((54-ExtractCost)*Production*365-FixedOpEx-CapEx/Horizon)*Tax_Rate,0)+CapEx/Horizon)*(1-(1+0.1285)^-Horizon)/0.1285-CapEx</f>
        <v>-35017195.9601623</v>
      </c>
      <c r="H13" s="33" t="n">
        <f aca="false">(((60-ExtractCost)*Production*365-FixedOpEx-CapEx/Horizon)-MAX(((60-ExtractCost)*Production*365-FixedOpEx-CapEx/Horizon)*Tax_Rate,0)+CapEx/Horizon)*(1-(1+0.1285)^-Horizon)/0.1285-CapEx</f>
        <v>12205276.6566759</v>
      </c>
      <c r="I13" s="33" t="n">
        <f aca="false">(((66-ExtractCost)*Production*365-FixedOpEx-CapEx/Horizon)-MAX(((66-ExtractCost)*Production*365-FixedOpEx-CapEx/Horizon)*Tax_Rate,0)+CapEx/Horizon)*(1-(1+0.1285)^-Horizon)/0.1285-CapEx</f>
        <v>59427749.2735141</v>
      </c>
      <c r="J13" s="33" t="n">
        <f aca="false">(((72-ExtractCost)*Production*365-FixedOpEx-CapEx/Horizon)-MAX(((72-ExtractCost)*Production*365-FixedOpEx-CapEx/Horizon)*Tax_Rate,0)+CapEx/Horizon)*(1-(1+0.1285)^-Horizon)/0.1285-CapEx</f>
        <v>106650221.890352</v>
      </c>
      <c r="K13" s="33" t="n">
        <f aca="false">(((78-ExtractCost)*Production*365-FixedOpEx-CapEx/Horizon)-MAX(((78-ExtractCost)*Production*365-FixedOpEx-CapEx/Horizon)*Tax_Rate,0)+CapEx/Horizon)*(1-(1+0.1285)^-Horizon)/0.1285-CapEx</f>
        <v>153872694.50719</v>
      </c>
      <c r="L13" s="33" t="n">
        <f aca="false">(((84-ExtractCost)*Production*365-FixedOpEx-CapEx/Horizon)-MAX(((84-ExtractCost)*Production*365-FixedOpEx-CapEx/Horizon)*Tax_Rate,0)+CapEx/Horizon)*(1-(1+0.1285)^-Horizon)/0.1285-CapEx</f>
        <v>201095167.124029</v>
      </c>
      <c r="M13" s="33" t="n">
        <f aca="false">(((90-ExtractCost)*Production*365-FixedOpEx-CapEx/Horizon)-MAX(((90-ExtractCost)*Production*365-FixedOpEx-CapEx/Horizon)*Tax_Rate,0)+CapEx/Horizon)*(1-(1+0.1285)^-Horizon)/0.1285-CapEx</f>
        <v>248317639.740867</v>
      </c>
    </row>
    <row r="14" customFormat="false" ht="15" hidden="false" customHeight="true" outlineLevel="0" collapsed="false">
      <c r="B14" s="32" t="n">
        <v>0.04</v>
      </c>
      <c r="C14" s="33" t="n">
        <f aca="false">(((30-ExtractCost)*Production*365-FixedOpEx-CapEx/Horizon)-MAX(((30-ExtractCost)*Production*365-FixedOpEx-CapEx/Horizon)*Tax_Rate,0)+CapEx/Horizon)*(1-(1+0.1335)^-Horizon)/0.1335-CapEx</f>
        <v>-263043678.798697</v>
      </c>
      <c r="D14" s="33" t="n">
        <f aca="false">(((36-ExtractCost)*Production*365-FixedOpEx-CapEx/Horizon)-MAX(((36-ExtractCost)*Production*365-FixedOpEx-CapEx/Horizon)*Tax_Rate,0)+CapEx/Horizon)*(1-(1+0.1335)^-Horizon)/0.1335-CapEx</f>
        <v>-204448257.125526</v>
      </c>
      <c r="E14" s="33" t="n">
        <f aca="false">(((42-ExtractCost)*Production*365-FixedOpEx-CapEx/Horizon)-MAX(((42-ExtractCost)*Production*365-FixedOpEx-CapEx/Horizon)*Tax_Rate,0)+CapEx/Horizon)*(1-(1+0.1335)^-Horizon)/0.1335-CapEx</f>
        <v>-145852835.452355</v>
      </c>
      <c r="F14" s="33" t="n">
        <f aca="false">(((48-ExtractCost)*Production*365-FixedOpEx-CapEx/Horizon)-MAX(((48-ExtractCost)*Production*365-FixedOpEx-CapEx/Horizon)*Tax_Rate,0)+CapEx/Horizon)*(1-(1+0.1335)^-Horizon)/0.1335-CapEx</f>
        <v>-87257413.7791846</v>
      </c>
      <c r="G14" s="33" t="n">
        <f aca="false">(((54-ExtractCost)*Production*365-FixedOpEx-CapEx/Horizon)-MAX(((54-ExtractCost)*Production*365-FixedOpEx-CapEx/Horizon)*Tax_Rate,0)+CapEx/Horizon)*(1-(1+0.1335)^-Horizon)/0.1335-CapEx</f>
        <v>-37286756.5700989</v>
      </c>
      <c r="H14" s="33" t="n">
        <f aca="false">(((60-ExtractCost)*Production*365-FixedOpEx-CapEx/Horizon)-MAX(((60-ExtractCost)*Production*365-FixedOpEx-CapEx/Horizon)*Tax_Rate,0)+CapEx/Horizon)*(1-(1+0.1335)^-Horizon)/0.1335-CapEx</f>
        <v>9003626.55170611</v>
      </c>
      <c r="I14" s="33" t="n">
        <f aca="false">(((66-ExtractCost)*Production*365-FixedOpEx-CapEx/Horizon)-MAX(((66-ExtractCost)*Production*365-FixedOpEx-CapEx/Horizon)*Tax_Rate,0)+CapEx/Horizon)*(1-(1+0.1335)^-Horizon)/0.1335-CapEx</f>
        <v>55294009.6735111</v>
      </c>
      <c r="J14" s="33" t="n">
        <f aca="false">(((72-ExtractCost)*Production*365-FixedOpEx-CapEx/Horizon)-MAX(((72-ExtractCost)*Production*365-FixedOpEx-CapEx/Horizon)*Tax_Rate,0)+CapEx/Horizon)*(1-(1+0.1335)^-Horizon)/0.1335-CapEx</f>
        <v>101584392.795316</v>
      </c>
      <c r="K14" s="33" t="n">
        <f aca="false">(((78-ExtractCost)*Production*365-FixedOpEx-CapEx/Horizon)-MAX(((78-ExtractCost)*Production*365-FixedOpEx-CapEx/Horizon)*Tax_Rate,0)+CapEx/Horizon)*(1-(1+0.1335)^-Horizon)/0.1335-CapEx</f>
        <v>147874775.917121</v>
      </c>
      <c r="L14" s="33" t="n">
        <f aca="false">(((84-ExtractCost)*Production*365-FixedOpEx-CapEx/Horizon)-MAX(((84-ExtractCost)*Production*365-FixedOpEx-CapEx/Horizon)*Tax_Rate,0)+CapEx/Horizon)*(1-(1+0.1335)^-Horizon)/0.1335-CapEx</f>
        <v>194165159.038926</v>
      </c>
      <c r="M14" s="33" t="n">
        <f aca="false">(((90-ExtractCost)*Production*365-FixedOpEx-CapEx/Horizon)-MAX(((90-ExtractCost)*Production*365-FixedOpEx-CapEx/Horizon)*Tax_Rate,0)+CapEx/Horizon)*(1-(1+0.1335)^-Horizon)/0.1335-CapEx</f>
        <v>240455542.160731</v>
      </c>
    </row>
    <row r="15" customFormat="false" ht="15" hidden="false" customHeight="true" outlineLevel="0" collapsed="false">
      <c r="B15" s="32" t="n">
        <v>0.045</v>
      </c>
      <c r="C15" s="33" t="n">
        <f aca="false">(((30-ExtractCost)*Production*365-FixedOpEx-CapEx/Horizon)-MAX(((30-ExtractCost)*Production*365-FixedOpEx-CapEx/Horizon)*Tax_Rate,0)+CapEx/Horizon)*(1-(1+0.1385)^-Horizon)/0.1385-CapEx</f>
        <v>-260838544.546418</v>
      </c>
      <c r="D15" s="33" t="n">
        <f aca="false">(((36-ExtractCost)*Production*365-FixedOpEx-CapEx/Horizon)-MAX(((36-ExtractCost)*Production*365-FixedOpEx-CapEx/Horizon)*Tax_Rate,0)+CapEx/Horizon)*(1-(1+0.1385)^-Horizon)/0.1385-CapEx</f>
        <v>-203386139.207565</v>
      </c>
      <c r="E15" s="33" t="n">
        <f aca="false">(((42-ExtractCost)*Production*365-FixedOpEx-CapEx/Horizon)-MAX(((42-ExtractCost)*Production*365-FixedOpEx-CapEx/Horizon)*Tax_Rate,0)+CapEx/Horizon)*(1-(1+0.1385)^-Horizon)/0.1385-CapEx</f>
        <v>-145933733.868711</v>
      </c>
      <c r="F15" s="33" t="n">
        <f aca="false">(((48-ExtractCost)*Production*365-FixedOpEx-CapEx/Horizon)-MAX(((48-ExtractCost)*Production*365-FixedOpEx-CapEx/Horizon)*Tax_Rate,0)+CapEx/Horizon)*(1-(1+0.1385)^-Horizon)/0.1385-CapEx</f>
        <v>-88481328.5298579</v>
      </c>
      <c r="G15" s="33" t="n">
        <f aca="false">(((54-ExtractCost)*Production*365-FixedOpEx-CapEx/Horizon)-MAX(((54-ExtractCost)*Production*365-FixedOpEx-CapEx/Horizon)*Tax_Rate,0)+CapEx/Horizon)*(1-(1+0.1385)^-Horizon)/0.1385-CapEx</f>
        <v>-39485445.045333</v>
      </c>
      <c r="H15" s="33" t="n">
        <f aca="false">(((60-ExtractCost)*Production*365-FixedOpEx-CapEx/Horizon)-MAX(((60-ExtractCost)*Production*365-FixedOpEx-CapEx/Horizon)*Tax_Rate,0)+CapEx/Horizon)*(1-(1+0.1385)^-Horizon)/0.1385-CapEx</f>
        <v>5901955.17236117</v>
      </c>
      <c r="I15" s="33" t="n">
        <f aca="false">(((66-ExtractCost)*Production*365-FixedOpEx-CapEx/Horizon)-MAX(((66-ExtractCost)*Production*365-FixedOpEx-CapEx/Horizon)*Tax_Rate,0)+CapEx/Horizon)*(1-(1+0.1385)^-Horizon)/0.1385-CapEx</f>
        <v>51289355.3900553</v>
      </c>
      <c r="J15" s="33" t="n">
        <f aca="false">(((72-ExtractCost)*Production*365-FixedOpEx-CapEx/Horizon)-MAX(((72-ExtractCost)*Production*365-FixedOpEx-CapEx/Horizon)*Tax_Rate,0)+CapEx/Horizon)*(1-(1+0.1385)^-Horizon)/0.1385-CapEx</f>
        <v>96676755.6077495</v>
      </c>
      <c r="K15" s="33" t="n">
        <f aca="false">(((78-ExtractCost)*Production*365-FixedOpEx-CapEx/Horizon)-MAX(((78-ExtractCost)*Production*365-FixedOpEx-CapEx/Horizon)*Tax_Rate,0)+CapEx/Horizon)*(1-(1+0.1385)^-Horizon)/0.1385-CapEx</f>
        <v>142064155.825444</v>
      </c>
      <c r="L15" s="33" t="n">
        <f aca="false">(((84-ExtractCost)*Production*365-FixedOpEx-CapEx/Horizon)-MAX(((84-ExtractCost)*Production*365-FixedOpEx-CapEx/Horizon)*Tax_Rate,0)+CapEx/Horizon)*(1-(1+0.1385)^-Horizon)/0.1385-CapEx</f>
        <v>187451556.043138</v>
      </c>
      <c r="M15" s="33" t="n">
        <f aca="false">(((90-ExtractCost)*Production*365-FixedOpEx-CapEx/Horizon)-MAX(((90-ExtractCost)*Production*365-FixedOpEx-CapEx/Horizon)*Tax_Rate,0)+CapEx/Horizon)*(1-(1+0.1385)^-Horizon)/0.1385-CapEx</f>
        <v>232838956.260832</v>
      </c>
    </row>
    <row r="16" customFormat="false" ht="15" hidden="false" customHeight="true" outlineLevel="0" collapsed="false">
      <c r="B16" s="32" t="n">
        <v>0.05</v>
      </c>
      <c r="C16" s="33" t="n">
        <f aca="false">(((30-ExtractCost)*Production*365-FixedOpEx-CapEx/Horizon)-MAX(((30-ExtractCost)*Production*365-FixedOpEx-CapEx/Horizon)*Tax_Rate,0)+CapEx/Horizon)*(1-(1+0.1435)^-Horizon)/0.1435-CapEx</f>
        <v>-258701691.53425</v>
      </c>
      <c r="D16" s="33" t="n">
        <f aca="false">(((36-ExtractCost)*Production*365-FixedOpEx-CapEx/Horizon)-MAX(((36-ExtractCost)*Production*365-FixedOpEx-CapEx/Horizon)*Tax_Rate,0)+CapEx/Horizon)*(1-(1+0.1435)^-Horizon)/0.1435-CapEx</f>
        <v>-202356909.413538</v>
      </c>
      <c r="E16" s="33" t="n">
        <f aca="false">(((42-ExtractCost)*Production*365-FixedOpEx-CapEx/Horizon)-MAX(((42-ExtractCost)*Production*365-FixedOpEx-CapEx/Horizon)*Tax_Rate,0)+CapEx/Horizon)*(1-(1+0.1435)^-Horizon)/0.1435-CapEx</f>
        <v>-146012127.292826</v>
      </c>
      <c r="F16" s="33" t="n">
        <f aca="false">(((48-ExtractCost)*Production*365-FixedOpEx-CapEx/Horizon)-MAX(((48-ExtractCost)*Production*365-FixedOpEx-CapEx/Horizon)*Tax_Rate,0)+CapEx/Horizon)*(1-(1+0.1435)^-Horizon)/0.1435-CapEx</f>
        <v>-89667345.1721145</v>
      </c>
      <c r="G16" s="33" t="n">
        <f aca="false">(((54-ExtractCost)*Production*365-FixedOpEx-CapEx/Horizon)-MAX(((54-ExtractCost)*Production*365-FixedOpEx-CapEx/Horizon)*Tax_Rate,0)+CapEx/Horizon)*(1-(1+0.1435)^-Horizon)/0.1435-CapEx</f>
        <v>-41616051.8717732</v>
      </c>
      <c r="H16" s="33" t="n">
        <f aca="false">(((60-ExtractCost)*Production*365-FixedOpEx-CapEx/Horizon)-MAX(((60-ExtractCost)*Production*365-FixedOpEx-CapEx/Horizon)*Tax_Rate,0)+CapEx/Horizon)*(1-(1+0.1435)^-Horizon)/0.1435-CapEx</f>
        <v>2896326.00358912</v>
      </c>
      <c r="I16" s="33" t="n">
        <f aca="false">(((66-ExtractCost)*Production*365-FixedOpEx-CapEx/Horizon)-MAX(((66-ExtractCost)*Production*365-FixedOpEx-CapEx/Horizon)*Tax_Rate,0)+CapEx/Horizon)*(1-(1+0.1435)^-Horizon)/0.1435-CapEx</f>
        <v>47408703.8789515</v>
      </c>
      <c r="J16" s="33" t="n">
        <f aca="false">(((72-ExtractCost)*Production*365-FixedOpEx-CapEx/Horizon)-MAX(((72-ExtractCost)*Production*365-FixedOpEx-CapEx/Horizon)*Tax_Rate,0)+CapEx/Horizon)*(1-(1+0.1435)^-Horizon)/0.1435-CapEx</f>
        <v>91921081.7543138</v>
      </c>
      <c r="K16" s="33" t="n">
        <f aca="false">(((78-ExtractCost)*Production*365-FixedOpEx-CapEx/Horizon)-MAX(((78-ExtractCost)*Production*365-FixedOpEx-CapEx/Horizon)*Tax_Rate,0)+CapEx/Horizon)*(1-(1+0.1435)^-Horizon)/0.1435-CapEx</f>
        <v>136433459.629676</v>
      </c>
      <c r="L16" s="33" t="n">
        <f aca="false">(((84-ExtractCost)*Production*365-FixedOpEx-CapEx/Horizon)-MAX(((84-ExtractCost)*Production*365-FixedOpEx-CapEx/Horizon)*Tax_Rate,0)+CapEx/Horizon)*(1-(1+0.1435)^-Horizon)/0.1435-CapEx</f>
        <v>180945837.505039</v>
      </c>
      <c r="M16" s="33" t="n">
        <f aca="false">(((90-ExtractCost)*Production*365-FixedOpEx-CapEx/Horizon)-MAX(((90-ExtractCost)*Production*365-FixedOpEx-CapEx/Horizon)*Tax_Rate,0)+CapEx/Horizon)*(1-(1+0.1435)^-Horizon)/0.1435-CapEx</f>
        <v>225458215.380401</v>
      </c>
    </row>
    <row r="18" customFormat="false" ht="15" hidden="false" customHeight="true" outlineLevel="0" collapsed="false">
      <c r="B18" s="30" t="s">
        <v>113</v>
      </c>
    </row>
    <row r="19" customFormat="false" ht="15" hidden="false" customHeight="true" outlineLevel="0" collapsed="false">
      <c r="B19" s="10" t="s">
        <v>114</v>
      </c>
      <c r="C19" s="34" t="n">
        <f aca="false">COUNTIF(C6:M16,"&gt;0")</f>
        <v>66</v>
      </c>
    </row>
    <row r="20" customFormat="false" ht="15" hidden="false" customHeight="true" outlineLevel="0" collapsed="false">
      <c r="B20" s="10" t="s">
        <v>115</v>
      </c>
      <c r="C20" s="34" t="n">
        <f aca="false">COUNT(C6:M16)</f>
        <v>121</v>
      </c>
    </row>
    <row r="21" customFormat="false" ht="15" hidden="false" customHeight="true" outlineLevel="0" collapsed="false">
      <c r="B21" s="10" t="s">
        <v>116</v>
      </c>
      <c r="C21" s="35" t="n">
        <f aca="false">C19/C20</f>
        <v>0.545454545454545</v>
      </c>
    </row>
  </sheetData>
  <conditionalFormatting sqref="C6:M16">
    <cfRule type="colorScale" priority="2">
      <colorScale>
        <cfvo type="num" val="-300000000"/>
        <cfvo type="num" val="0"/>
        <cfvo type="num" val="3500000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0"/>
  </cols>
  <sheetData>
    <row r="2" customFormat="false" ht="17.25" hidden="false" customHeight="true" outlineLevel="0" collapsed="false">
      <c r="B2" s="4" t="s">
        <v>117</v>
      </c>
    </row>
    <row r="3" customFormat="false" ht="15" hidden="false" customHeight="true" outlineLevel="0" collapsed="false">
      <c r="B3" s="13" t="s">
        <v>118</v>
      </c>
    </row>
    <row r="5" customFormat="false" ht="15" hidden="false" customHeight="true" outlineLevel="0" collapsed="false">
      <c r="B5" s="14" t="s">
        <v>119</v>
      </c>
      <c r="C5" s="14" t="s">
        <v>120</v>
      </c>
      <c r="D5" s="14" t="s">
        <v>54</v>
      </c>
    </row>
    <row r="6" customFormat="false" ht="15" hidden="false" customHeight="true" outlineLevel="0" collapsed="false">
      <c r="B6" s="10" t="s">
        <v>121</v>
      </c>
      <c r="C6" s="36" t="n">
        <v>-11.5</v>
      </c>
      <c r="D6" s="16" t="s">
        <v>122</v>
      </c>
    </row>
    <row r="7" customFormat="false" ht="15" hidden="false" customHeight="true" outlineLevel="0" collapsed="false">
      <c r="B7" s="10" t="s">
        <v>123</v>
      </c>
      <c r="C7" s="36" t="n">
        <v>173.4</v>
      </c>
      <c r="D7" s="16" t="s">
        <v>124</v>
      </c>
    </row>
    <row r="8" customFormat="false" ht="15" hidden="false" customHeight="true" outlineLevel="0" collapsed="false">
      <c r="B8" s="24" t="s">
        <v>125</v>
      </c>
      <c r="C8" s="36" t="n">
        <v>343.8</v>
      </c>
      <c r="D8" s="16" t="s">
        <v>126</v>
      </c>
    </row>
    <row r="9" customFormat="false" ht="15" hidden="false" customHeight="true" outlineLevel="0" collapsed="false">
      <c r="B9" s="10" t="s">
        <v>127</v>
      </c>
      <c r="C9" s="36" t="n">
        <v>409.7</v>
      </c>
      <c r="D9" s="16" t="s">
        <v>128</v>
      </c>
    </row>
    <row r="11" customFormat="false" ht="15" hidden="false" customHeight="true" outlineLevel="0" collapsed="false">
      <c r="B11" s="24" t="s">
        <v>129</v>
      </c>
      <c r="C11" s="37" t="n">
        <v>3</v>
      </c>
      <c r="D11" s="16" t="s">
        <v>130</v>
      </c>
    </row>
    <row r="12" customFormat="false" ht="15" hidden="false" customHeight="true" outlineLevel="0" collapsed="false">
      <c r="B12" s="9" t="s">
        <v>131</v>
      </c>
      <c r="C12" s="38" t="n">
        <f aca="false">INDEX(C6:C9,C11)</f>
        <v>343.8</v>
      </c>
    </row>
    <row r="15" customFormat="false" ht="15" hidden="false" customHeight="true" outlineLevel="0" collapsed="false">
      <c r="B15" s="9" t="s">
        <v>132</v>
      </c>
      <c r="C15" s="9"/>
      <c r="D15" s="9"/>
      <c r="E15" s="9"/>
    </row>
    <row r="16" customFormat="false" ht="15" hidden="false" customHeight="true" outlineLevel="0" collapsed="false">
      <c r="B16" s="10" t="s">
        <v>133</v>
      </c>
      <c r="C16" s="38" t="n">
        <f aca="false">C12</f>
        <v>343.8</v>
      </c>
    </row>
    <row r="17" customFormat="false" ht="15" hidden="false" customHeight="true" outlineLevel="0" collapsed="false">
      <c r="B17" s="10" t="s">
        <v>134</v>
      </c>
      <c r="C17" s="39" t="n">
        <f aca="false">Sigma_Project</f>
        <v>0.34453</v>
      </c>
    </row>
    <row r="18" customFormat="false" ht="15" hidden="false" customHeight="true" outlineLevel="0" collapsed="false">
      <c r="B18" s="10" t="s">
        <v>135</v>
      </c>
      <c r="C18" s="39" t="n">
        <f aca="false">RF</f>
        <v>0.045</v>
      </c>
    </row>
    <row r="20" customFormat="false" ht="15" hidden="false" customHeight="true" outlineLevel="0" collapsed="false">
      <c r="B20" s="23" t="s">
        <v>136</v>
      </c>
      <c r="C20" s="23"/>
      <c r="D20" s="23"/>
      <c r="E20" s="23"/>
    </row>
    <row r="21" customFormat="false" ht="15" hidden="false" customHeight="true" outlineLevel="0" collapsed="false">
      <c r="B21" s="10" t="s">
        <v>137</v>
      </c>
      <c r="C21" s="40" t="n">
        <f aca="false">Salvage/1000000</f>
        <v>40</v>
      </c>
    </row>
    <row r="22" customFormat="false" ht="15" hidden="false" customHeight="true" outlineLevel="0" collapsed="false">
      <c r="B22" s="10" t="s">
        <v>138</v>
      </c>
      <c r="C22" s="41" t="n">
        <f aca="false">T_Abandon</f>
        <v>3</v>
      </c>
    </row>
    <row r="23" customFormat="false" ht="15" hidden="false" customHeight="true" outlineLevel="0" collapsed="false">
      <c r="B23" s="10" t="s">
        <v>139</v>
      </c>
      <c r="C23" s="42" t="n">
        <f aca="false">IF(C16&lt;=0,-99,(LN(C16/C21)+(C18+C17^2/2)*C22)/(C17*SQRT(C22)))</f>
        <v>4.12946628798478</v>
      </c>
    </row>
    <row r="24" customFormat="false" ht="15" hidden="false" customHeight="true" outlineLevel="0" collapsed="false">
      <c r="B24" s="10" t="s">
        <v>140</v>
      </c>
      <c r="C24" s="42" t="n">
        <f aca="false">IF(C16&lt;=0,-99,C23-C17*SQRT(C22))</f>
        <v>3.53272282325308</v>
      </c>
    </row>
    <row r="25" customFormat="false" ht="15" hidden="false" customHeight="true" outlineLevel="0" collapsed="false">
      <c r="B25" s="23" t="s">
        <v>141</v>
      </c>
      <c r="C25" s="43" t="n">
        <f aca="false">IF(C16&lt;=0,C21*EXP(-C18*C22),C21*EXP(-C18*C22)*NORMDIST(-C24,0,1,TRUE())-C16*NORMDIST(-C23,0,1,TRUE()))</f>
        <v>0.000936854941965262</v>
      </c>
    </row>
    <row r="27" customFormat="false" ht="15" hidden="false" customHeight="true" outlineLevel="0" collapsed="false">
      <c r="B27" s="44" t="s">
        <v>142</v>
      </c>
      <c r="C27" s="44"/>
      <c r="D27" s="44"/>
      <c r="E27" s="44"/>
    </row>
    <row r="28" customFormat="false" ht="15" hidden="false" customHeight="true" outlineLevel="0" collapsed="false">
      <c r="B28" s="10" t="s">
        <v>143</v>
      </c>
      <c r="C28" s="38" t="n">
        <f aca="false">0.5*C16</f>
        <v>171.9</v>
      </c>
    </row>
    <row r="29" customFormat="false" ht="15" hidden="false" customHeight="true" outlineLevel="0" collapsed="false">
      <c r="B29" s="10" t="s">
        <v>137</v>
      </c>
      <c r="C29" s="40" t="n">
        <f aca="false">ExpandCapEx/1000000</f>
        <v>60</v>
      </c>
    </row>
    <row r="30" customFormat="false" ht="15" hidden="false" customHeight="true" outlineLevel="0" collapsed="false">
      <c r="B30" s="10" t="s">
        <v>138</v>
      </c>
      <c r="C30" s="41" t="n">
        <f aca="false">T_Expand</f>
        <v>5</v>
      </c>
    </row>
    <row r="31" customFormat="false" ht="15" hidden="false" customHeight="true" outlineLevel="0" collapsed="false">
      <c r="B31" s="10" t="s">
        <v>139</v>
      </c>
      <c r="C31" s="42" t="n">
        <f aca="false">IF(C28&lt;=0,-99,(LN(C28/C29)+(C18+C17^2/2)*C30)/(C17*SQRT(C30)))</f>
        <v>2.04353060527999</v>
      </c>
    </row>
    <row r="32" customFormat="false" ht="15" hidden="false" customHeight="true" outlineLevel="0" collapsed="false">
      <c r="B32" s="10" t="s">
        <v>140</v>
      </c>
      <c r="C32" s="42" t="n">
        <f aca="false">IF(C28&lt;=0,-99,C31-C17*SQRT(C30))</f>
        <v>1.27313810499198</v>
      </c>
    </row>
    <row r="33" customFormat="false" ht="15" hidden="false" customHeight="true" outlineLevel="0" collapsed="false">
      <c r="B33" s="44" t="s">
        <v>144</v>
      </c>
      <c r="C33" s="45" t="n">
        <f aca="false">IF(C28&lt;=0,0,C28*NORMDIST(C31,0,1,TRUE())-C29*EXP(-C18*C30)*NORMDIST(C32,0,1,TRUE()))</f>
        <v>125.32730405158</v>
      </c>
    </row>
    <row r="35" customFormat="false" ht="17.25" hidden="false" customHeight="true" outlineLevel="0" collapsed="false">
      <c r="B35" s="46" t="s">
        <v>145</v>
      </c>
      <c r="C35" s="47" t="n">
        <f aca="false">C25+C33</f>
        <v>125.328240906522</v>
      </c>
    </row>
    <row r="36" customFormat="false" ht="15" hidden="false" customHeight="true" outlineLevel="0" collapsed="false">
      <c r="B36" s="24" t="s">
        <v>146</v>
      </c>
      <c r="C36" s="35" t="n">
        <f aca="false">C35/(CapEx/1000000)</f>
        <v>0.835521606043482</v>
      </c>
    </row>
  </sheetData>
  <mergeCells count="3">
    <mergeCell ref="B15:E15"/>
    <mergeCell ref="B20:E20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12" min="3" style="1" width="9"/>
    <col collapsed="false" customWidth="true" hidden="false" outlineLevel="0" max="13" min="13" style="1" width="11"/>
  </cols>
  <sheetData>
    <row r="2" customFormat="false" ht="17.25" hidden="false" customHeight="true" outlineLevel="0" collapsed="false">
      <c r="B2" s="4" t="s">
        <v>147</v>
      </c>
    </row>
    <row r="3" customFormat="false" ht="15" hidden="false" customHeight="true" outlineLevel="0" collapsed="false">
      <c r="B3" s="13" t="s">
        <v>148</v>
      </c>
    </row>
    <row r="5" customFormat="false" ht="15" hidden="false" customHeight="true" outlineLevel="0" collapsed="false">
      <c r="B5" s="48" t="s">
        <v>149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customFormat="false" ht="15" hidden="false" customHeight="true" outlineLevel="0" collapsed="false">
      <c r="B6" s="14" t="s">
        <v>150</v>
      </c>
      <c r="C6" s="14" t="s">
        <v>151</v>
      </c>
      <c r="D6" s="14" t="s">
        <v>152</v>
      </c>
      <c r="E6" s="14" t="s">
        <v>153</v>
      </c>
      <c r="F6" s="14" t="s">
        <v>154</v>
      </c>
      <c r="G6" s="14" t="s">
        <v>155</v>
      </c>
      <c r="H6" s="14" t="s">
        <v>156</v>
      </c>
      <c r="I6" s="14" t="s">
        <v>157</v>
      </c>
      <c r="J6" s="14" t="s">
        <v>158</v>
      </c>
      <c r="K6" s="14" t="s">
        <v>159</v>
      </c>
      <c r="L6" s="14" t="s">
        <v>160</v>
      </c>
      <c r="M6" s="14" t="s">
        <v>161</v>
      </c>
    </row>
    <row r="7" customFormat="false" ht="15" hidden="false" customHeight="true" outlineLevel="0" collapsed="false">
      <c r="B7" s="10" t="s">
        <v>162</v>
      </c>
      <c r="C7" s="49" t="n">
        <v>38.7</v>
      </c>
      <c r="D7" s="49" t="n">
        <v>36.2</v>
      </c>
      <c r="E7" s="49" t="n">
        <v>34.5</v>
      </c>
      <c r="F7" s="49" t="n">
        <v>33.4</v>
      </c>
      <c r="G7" s="49" t="n">
        <v>32.4</v>
      </c>
      <c r="H7" s="49" t="n">
        <v>31.6</v>
      </c>
      <c r="I7" s="49" t="n">
        <v>31.2</v>
      </c>
      <c r="J7" s="49" t="n">
        <v>30.4</v>
      </c>
      <c r="K7" s="49" t="n">
        <v>30.1</v>
      </c>
      <c r="L7" s="49" t="n">
        <v>29.7</v>
      </c>
    </row>
    <row r="8" customFormat="false" ht="15" hidden="false" customHeight="true" outlineLevel="0" collapsed="false">
      <c r="B8" s="10" t="s">
        <v>163</v>
      </c>
      <c r="C8" s="38" t="n">
        <f aca="false">C7*Production*365/1000000</f>
        <v>70.6275</v>
      </c>
      <c r="D8" s="38" t="n">
        <f aca="false">D7*Production*365/1000000</f>
        <v>66.065</v>
      </c>
      <c r="E8" s="38" t="n">
        <f aca="false">E7*Production*365/1000000</f>
        <v>62.9625</v>
      </c>
      <c r="F8" s="38" t="n">
        <f aca="false">F7*Production*365/1000000</f>
        <v>60.955</v>
      </c>
      <c r="G8" s="38" t="n">
        <f aca="false">G7*Production*365/1000000</f>
        <v>59.13</v>
      </c>
      <c r="H8" s="38" t="n">
        <f aca="false">H7*Production*365/1000000</f>
        <v>57.67</v>
      </c>
      <c r="I8" s="38" t="n">
        <f aca="false">I7*Production*365/1000000</f>
        <v>56.94</v>
      </c>
      <c r="J8" s="38" t="n">
        <f aca="false">J7*Production*365/1000000</f>
        <v>55.48</v>
      </c>
      <c r="K8" s="38" t="n">
        <f aca="false">K7*Production*365/1000000</f>
        <v>54.9325</v>
      </c>
      <c r="L8" s="38" t="n">
        <f aca="false">L7*Production*365/1000000</f>
        <v>54.2025</v>
      </c>
      <c r="M8" s="38" t="n">
        <f aca="false">SUM(C8:L8)</f>
        <v>598.965</v>
      </c>
    </row>
    <row r="9" customFormat="false" ht="15" hidden="false" customHeight="true" outlineLevel="0" collapsed="false">
      <c r="B9" s="10" t="s">
        <v>164</v>
      </c>
      <c r="C9" s="38" t="n">
        <f aca="false">-ExtractCost*Production*365/1000000</f>
        <v>-63.875</v>
      </c>
      <c r="D9" s="38" t="n">
        <f aca="false">-ExtractCost*Production*365/1000000</f>
        <v>-63.875</v>
      </c>
      <c r="E9" s="38" t="n">
        <f aca="false">-ExtractCost*Production*365/1000000</f>
        <v>-63.875</v>
      </c>
      <c r="F9" s="38" t="n">
        <f aca="false">-ExtractCost*Production*365/1000000</f>
        <v>-63.875</v>
      </c>
      <c r="G9" s="38" t="n">
        <f aca="false">-ExtractCost*Production*365/1000000</f>
        <v>-63.875</v>
      </c>
      <c r="H9" s="38" t="n">
        <f aca="false">-ExtractCost*Production*365/1000000</f>
        <v>-63.875</v>
      </c>
      <c r="I9" s="38" t="n">
        <f aca="false">-ExtractCost*Production*365/1000000</f>
        <v>-63.875</v>
      </c>
      <c r="J9" s="38" t="n">
        <f aca="false">-ExtractCost*Production*365/1000000</f>
        <v>-63.875</v>
      </c>
      <c r="K9" s="38" t="n">
        <f aca="false">-ExtractCost*Production*365/1000000</f>
        <v>-63.875</v>
      </c>
      <c r="L9" s="38" t="n">
        <f aca="false">-ExtractCost*Production*365/1000000</f>
        <v>-63.875</v>
      </c>
      <c r="M9" s="38" t="n">
        <f aca="false">SUM(C9:L9)</f>
        <v>-638.75</v>
      </c>
    </row>
    <row r="10" customFormat="false" ht="15" hidden="false" customHeight="true" outlineLevel="0" collapsed="false">
      <c r="B10" s="10" t="s">
        <v>165</v>
      </c>
      <c r="C10" s="38" t="n">
        <f aca="false">-FixedOpEx/1000000</f>
        <v>-12</v>
      </c>
      <c r="D10" s="38" t="n">
        <f aca="false">-FixedOpEx/1000000</f>
        <v>-12</v>
      </c>
      <c r="E10" s="38" t="n">
        <f aca="false">-FixedOpEx/1000000</f>
        <v>-12</v>
      </c>
      <c r="F10" s="38" t="n">
        <f aca="false">-FixedOpEx/1000000</f>
        <v>-12</v>
      </c>
      <c r="G10" s="38" t="n">
        <f aca="false">-FixedOpEx/1000000</f>
        <v>-12</v>
      </c>
      <c r="H10" s="38" t="n">
        <f aca="false">-FixedOpEx/1000000</f>
        <v>-12</v>
      </c>
      <c r="I10" s="38" t="n">
        <f aca="false">-FixedOpEx/1000000</f>
        <v>-12</v>
      </c>
      <c r="J10" s="38" t="n">
        <f aca="false">-FixedOpEx/1000000</f>
        <v>-12</v>
      </c>
      <c r="K10" s="38" t="n">
        <f aca="false">-FixedOpEx/1000000</f>
        <v>-12</v>
      </c>
      <c r="L10" s="38" t="n">
        <f aca="false">-FixedOpEx/1000000</f>
        <v>-12</v>
      </c>
      <c r="M10" s="38" t="n">
        <f aca="false">SUM(C10:L10)</f>
        <v>-120</v>
      </c>
    </row>
    <row r="11" customFormat="false" ht="15" hidden="false" customHeight="true" outlineLevel="0" collapsed="false">
      <c r="B11" s="24" t="s">
        <v>166</v>
      </c>
      <c r="C11" s="38" t="n">
        <f aca="false">C8+C9+C10</f>
        <v>-5.2475</v>
      </c>
      <c r="D11" s="38" t="n">
        <f aca="false">D8+D9+D10</f>
        <v>-9.81</v>
      </c>
      <c r="E11" s="38" t="n">
        <f aca="false">E8+E9+E10</f>
        <v>-12.9125</v>
      </c>
      <c r="F11" s="38" t="n">
        <f aca="false">F8+F9+F10</f>
        <v>-14.92</v>
      </c>
      <c r="G11" s="38" t="n">
        <f aca="false">G8+G9+G10</f>
        <v>-16.745</v>
      </c>
      <c r="H11" s="38" t="n">
        <f aca="false">H8+H9+H10</f>
        <v>-18.205</v>
      </c>
      <c r="I11" s="38" t="n">
        <f aca="false">I8+I9+I10</f>
        <v>-18.935</v>
      </c>
      <c r="J11" s="38" t="n">
        <f aca="false">J8+J9+J10</f>
        <v>-20.395</v>
      </c>
      <c r="K11" s="38" t="n">
        <f aca="false">K8+K9+K10</f>
        <v>-20.9425</v>
      </c>
      <c r="L11" s="38" t="n">
        <f aca="false">L8+L9+L10</f>
        <v>-21.6725</v>
      </c>
      <c r="M11" s="38" t="n">
        <f aca="false">SUM(C11:L11)</f>
        <v>-159.785</v>
      </c>
    </row>
    <row r="12" customFormat="false" ht="15" hidden="false" customHeight="true" outlineLevel="0" collapsed="false">
      <c r="B12" s="10" t="s">
        <v>167</v>
      </c>
      <c r="C12" s="38" t="n">
        <f aca="false">-CapEx/Horizon/1000000</f>
        <v>-15</v>
      </c>
      <c r="D12" s="38" t="n">
        <f aca="false">-CapEx/Horizon/1000000</f>
        <v>-15</v>
      </c>
      <c r="E12" s="38" t="n">
        <f aca="false">-CapEx/Horizon/1000000</f>
        <v>-15</v>
      </c>
      <c r="F12" s="38" t="n">
        <f aca="false">-CapEx/Horizon/1000000</f>
        <v>-15</v>
      </c>
      <c r="G12" s="38" t="n">
        <f aca="false">-CapEx/Horizon/1000000</f>
        <v>-15</v>
      </c>
      <c r="H12" s="38" t="n">
        <f aca="false">-CapEx/Horizon/1000000</f>
        <v>-15</v>
      </c>
      <c r="I12" s="38" t="n">
        <f aca="false">-CapEx/Horizon/1000000</f>
        <v>-15</v>
      </c>
      <c r="J12" s="38" t="n">
        <f aca="false">-CapEx/Horizon/1000000</f>
        <v>-15</v>
      </c>
      <c r="K12" s="38" t="n">
        <f aca="false">-CapEx/Horizon/1000000</f>
        <v>-15</v>
      </c>
      <c r="L12" s="38" t="n">
        <f aca="false">-CapEx/Horizon/1000000</f>
        <v>-15</v>
      </c>
      <c r="M12" s="38" t="n">
        <f aca="false">SUM(C12:L12)</f>
        <v>-150</v>
      </c>
    </row>
    <row r="13" customFormat="false" ht="15" hidden="false" customHeight="true" outlineLevel="0" collapsed="false">
      <c r="B13" s="24" t="s">
        <v>168</v>
      </c>
      <c r="C13" s="38" t="n">
        <f aca="false">C11+C12</f>
        <v>-20.2475</v>
      </c>
      <c r="D13" s="38" t="n">
        <f aca="false">D11+D12</f>
        <v>-24.81</v>
      </c>
      <c r="E13" s="38" t="n">
        <f aca="false">E11+E12</f>
        <v>-27.9125</v>
      </c>
      <c r="F13" s="38" t="n">
        <f aca="false">F11+F12</f>
        <v>-29.92</v>
      </c>
      <c r="G13" s="38" t="n">
        <f aca="false">G11+G12</f>
        <v>-31.745</v>
      </c>
      <c r="H13" s="38" t="n">
        <f aca="false">H11+H12</f>
        <v>-33.205</v>
      </c>
      <c r="I13" s="38" t="n">
        <f aca="false">I11+I12</f>
        <v>-33.935</v>
      </c>
      <c r="J13" s="38" t="n">
        <f aca="false">J11+J12</f>
        <v>-35.395</v>
      </c>
      <c r="K13" s="38" t="n">
        <f aca="false">K11+K12</f>
        <v>-35.9425</v>
      </c>
      <c r="L13" s="38" t="n">
        <f aca="false">L11+L12</f>
        <v>-36.6725</v>
      </c>
      <c r="M13" s="38" t="n">
        <f aca="false">SUM(C13:L13)</f>
        <v>-309.785</v>
      </c>
    </row>
    <row r="14" customFormat="false" ht="15" hidden="false" customHeight="true" outlineLevel="0" collapsed="false">
      <c r="B14" s="10" t="s">
        <v>169</v>
      </c>
      <c r="C14" s="38" t="n">
        <f aca="false">-MAX(C13*Tax_Rate,0)</f>
        <v>-0</v>
      </c>
      <c r="D14" s="38" t="n">
        <f aca="false">-MAX(D13*Tax_Rate,0)</f>
        <v>-0</v>
      </c>
      <c r="E14" s="38" t="n">
        <f aca="false">-MAX(E13*Tax_Rate,0)</f>
        <v>-0</v>
      </c>
      <c r="F14" s="38" t="n">
        <f aca="false">-MAX(F13*Tax_Rate,0)</f>
        <v>-0</v>
      </c>
      <c r="G14" s="38" t="n">
        <f aca="false">-MAX(G13*Tax_Rate,0)</f>
        <v>-0</v>
      </c>
      <c r="H14" s="38" t="n">
        <f aca="false">-MAX(H13*Tax_Rate,0)</f>
        <v>-0</v>
      </c>
      <c r="I14" s="38" t="n">
        <f aca="false">-MAX(I13*Tax_Rate,0)</f>
        <v>-0</v>
      </c>
      <c r="J14" s="38" t="n">
        <f aca="false">-MAX(J13*Tax_Rate,0)</f>
        <v>-0</v>
      </c>
      <c r="K14" s="38" t="n">
        <f aca="false">-MAX(K13*Tax_Rate,0)</f>
        <v>-0</v>
      </c>
      <c r="L14" s="38" t="n">
        <f aca="false">-MAX(L13*Tax_Rate,0)</f>
        <v>-0</v>
      </c>
      <c r="M14" s="38" t="n">
        <f aca="false">SUM(C14:L14)</f>
        <v>0</v>
      </c>
    </row>
    <row r="15" customFormat="false" ht="15" hidden="false" customHeight="true" outlineLevel="0" collapsed="false">
      <c r="B15" s="9" t="s">
        <v>170</v>
      </c>
      <c r="C15" s="38" t="n">
        <f aca="false">C13+C14</f>
        <v>-20.2475</v>
      </c>
      <c r="D15" s="38" t="n">
        <f aca="false">D13+D14</f>
        <v>-24.81</v>
      </c>
      <c r="E15" s="38" t="n">
        <f aca="false">E13+E14</f>
        <v>-27.9125</v>
      </c>
      <c r="F15" s="38" t="n">
        <f aca="false">F13+F14</f>
        <v>-29.92</v>
      </c>
      <c r="G15" s="38" t="n">
        <f aca="false">G13+G14</f>
        <v>-31.745</v>
      </c>
      <c r="H15" s="38" t="n">
        <f aca="false">H13+H14</f>
        <v>-33.205</v>
      </c>
      <c r="I15" s="38" t="n">
        <f aca="false">I13+I14</f>
        <v>-33.935</v>
      </c>
      <c r="J15" s="38" t="n">
        <f aca="false">J13+J14</f>
        <v>-35.395</v>
      </c>
      <c r="K15" s="38" t="n">
        <f aca="false">K13+K14</f>
        <v>-35.9425</v>
      </c>
      <c r="L15" s="38" t="n">
        <f aca="false">L13+L14</f>
        <v>-36.6725</v>
      </c>
      <c r="M15" s="38" t="n">
        <f aca="false">SUM(C15:L15)</f>
        <v>-309.785</v>
      </c>
    </row>
    <row r="16" customFormat="false" ht="15" hidden="false" customHeight="true" outlineLevel="0" collapsed="false">
      <c r="B16" s="10" t="s">
        <v>171</v>
      </c>
      <c r="C16" s="38" t="n">
        <f aca="false">CapEx/Horizon/1000000</f>
        <v>15</v>
      </c>
      <c r="D16" s="38" t="n">
        <f aca="false">CapEx/Horizon/1000000</f>
        <v>15</v>
      </c>
      <c r="E16" s="38" t="n">
        <f aca="false">CapEx/Horizon/1000000</f>
        <v>15</v>
      </c>
      <c r="F16" s="38" t="n">
        <f aca="false">CapEx/Horizon/1000000</f>
        <v>15</v>
      </c>
      <c r="G16" s="38" t="n">
        <f aca="false">CapEx/Horizon/1000000</f>
        <v>15</v>
      </c>
      <c r="H16" s="38" t="n">
        <f aca="false">CapEx/Horizon/1000000</f>
        <v>15</v>
      </c>
      <c r="I16" s="38" t="n">
        <f aca="false">CapEx/Horizon/1000000</f>
        <v>15</v>
      </c>
      <c r="J16" s="38" t="n">
        <f aca="false">CapEx/Horizon/1000000</f>
        <v>15</v>
      </c>
      <c r="K16" s="38" t="n">
        <f aca="false">CapEx/Horizon/1000000</f>
        <v>15</v>
      </c>
      <c r="L16" s="38" t="n">
        <f aca="false">CapEx/Horizon/1000000</f>
        <v>15</v>
      </c>
      <c r="M16" s="38" t="n">
        <f aca="false">SUM(C16:L16)</f>
        <v>150</v>
      </c>
    </row>
    <row r="17" customFormat="false" ht="15" hidden="false" customHeight="true" outlineLevel="0" collapsed="false">
      <c r="B17" s="10" t="s">
        <v>172</v>
      </c>
      <c r="C17" s="38" t="n">
        <f aca="false">-0.05*C8</f>
        <v>-3.531375</v>
      </c>
      <c r="D17" s="38" t="n">
        <f aca="false">-0.05*(D8-C8)</f>
        <v>0.228125</v>
      </c>
      <c r="E17" s="38" t="n">
        <f aca="false">-0.05*(E8-D8)</f>
        <v>0.155125</v>
      </c>
      <c r="F17" s="38" t="n">
        <f aca="false">-0.05*(F8-E8)</f>
        <v>0.100375</v>
      </c>
      <c r="G17" s="38" t="n">
        <f aca="false">-0.05*(G8-F8)</f>
        <v>0.0912499999999998</v>
      </c>
      <c r="H17" s="38" t="n">
        <f aca="false">-0.05*(H8-G8)</f>
        <v>0.0730000000000001</v>
      </c>
      <c r="I17" s="38" t="n">
        <f aca="false">-0.05*(I8-H8)</f>
        <v>0.0365000000000002</v>
      </c>
      <c r="J17" s="38" t="n">
        <f aca="false">-0.05*(J8-I8)</f>
        <v>0.0730000000000001</v>
      </c>
      <c r="K17" s="38" t="n">
        <f aca="false">-0.05*(K8-J8)</f>
        <v>0.027375</v>
      </c>
      <c r="L17" s="38" t="n">
        <f aca="false">-0.05*(L8-K8)</f>
        <v>0.0364999999999998</v>
      </c>
      <c r="M17" s="38" t="n">
        <f aca="false">SUM(C17:L17)</f>
        <v>-2.710125</v>
      </c>
    </row>
    <row r="18" customFormat="false" ht="15" hidden="false" customHeight="true" outlineLevel="0" collapsed="false">
      <c r="B18" s="23" t="s">
        <v>173</v>
      </c>
      <c r="C18" s="50" t="n">
        <f aca="false">C15+C16+C17</f>
        <v>-8.778875</v>
      </c>
      <c r="D18" s="50" t="n">
        <f aca="false">D15+D16+D17</f>
        <v>-9.581875</v>
      </c>
      <c r="E18" s="50" t="n">
        <f aca="false">E15+E16+E17</f>
        <v>-12.757375</v>
      </c>
      <c r="F18" s="50" t="n">
        <f aca="false">F15+F16+F17</f>
        <v>-14.819625</v>
      </c>
      <c r="G18" s="50" t="n">
        <f aca="false">G15+G16+G17</f>
        <v>-16.65375</v>
      </c>
      <c r="H18" s="50" t="n">
        <f aca="false">H15+H16+H17</f>
        <v>-18.132</v>
      </c>
      <c r="I18" s="50" t="n">
        <f aca="false">I15+I16+I17</f>
        <v>-18.8985</v>
      </c>
      <c r="J18" s="50" t="n">
        <f aca="false">J15+J16+J17</f>
        <v>-20.322</v>
      </c>
      <c r="K18" s="50" t="n">
        <f aca="false">K15+K16+K17</f>
        <v>-20.915125</v>
      </c>
      <c r="L18" s="50" t="n">
        <f aca="false">L15+L16+L17</f>
        <v>-21.636</v>
      </c>
      <c r="M18" s="51" t="n">
        <f aca="false">SUM(C18:L18)</f>
        <v>-162.495125</v>
      </c>
    </row>
    <row r="19" customFormat="false" ht="15" hidden="false" customHeight="true" outlineLevel="0" collapsed="false">
      <c r="B19" s="10" t="s">
        <v>174</v>
      </c>
      <c r="C19" s="38" t="n">
        <f aca="false">C18/(1+WACC_Opt)^1</f>
        <v>-8.02823502514861</v>
      </c>
      <c r="D19" s="38" t="n">
        <f aca="false">D18/(1+WACC_Opt)^2</f>
        <v>-8.0133281231804</v>
      </c>
      <c r="E19" s="38" t="n">
        <f aca="false">E18/(1+WACC_Opt)^3</f>
        <v>-9.75674511360953</v>
      </c>
      <c r="F19" s="38" t="n">
        <f aca="false">F18/(1+WACC_Opt)^4</f>
        <v>-10.3648271700161</v>
      </c>
      <c r="G19" s="38" t="n">
        <f aca="false">G18/(1+WACC_Opt)^5</f>
        <v>-10.6516798341024</v>
      </c>
      <c r="H19" s="38" t="n">
        <f aca="false">H18/(1+WACC_Opt)^6</f>
        <v>-10.6055448803794</v>
      </c>
      <c r="I19" s="38" t="n">
        <f aca="false">I18/(1+WACC_Opt)^7</f>
        <v>-10.1087119958818</v>
      </c>
      <c r="J19" s="38" t="n">
        <f aca="false">J18/(1+WACC_Opt)^8</f>
        <v>-9.94068124452188</v>
      </c>
      <c r="K19" s="38" t="n">
        <f aca="false">K18/(1+WACC_Opt)^9</f>
        <v>-9.35602509763502</v>
      </c>
      <c r="L19" s="38" t="n">
        <f aca="false">L18/(1+WACC_Opt)^10</f>
        <v>-8.85093393351119</v>
      </c>
      <c r="M19" s="38" t="n">
        <f aca="false">SUM(C19:L19)</f>
        <v>-95.6767124179863</v>
      </c>
    </row>
    <row r="20" customFormat="false" ht="15" hidden="false" customHeight="true" outlineLevel="0" collapsed="false">
      <c r="B20" s="52" t="s">
        <v>175</v>
      </c>
      <c r="M20" s="53" t="n">
        <f aca="false">M19-CapEx/1000000</f>
        <v>-245.676712417986</v>
      </c>
    </row>
    <row r="22" customFormat="false" ht="15" hidden="false" customHeight="true" outlineLevel="0" collapsed="false">
      <c r="B22" s="54" t="s">
        <v>176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customFormat="false" ht="15" hidden="false" customHeight="true" outlineLevel="0" collapsed="false">
      <c r="B23" s="14" t="s">
        <v>150</v>
      </c>
      <c r="C23" s="14" t="s">
        <v>151</v>
      </c>
      <c r="D23" s="14" t="s">
        <v>152</v>
      </c>
      <c r="E23" s="14" t="s">
        <v>153</v>
      </c>
      <c r="F23" s="14" t="s">
        <v>154</v>
      </c>
      <c r="G23" s="14" t="s">
        <v>155</v>
      </c>
      <c r="H23" s="14" t="s">
        <v>156</v>
      </c>
      <c r="I23" s="14" t="s">
        <v>157</v>
      </c>
      <c r="J23" s="14" t="s">
        <v>158</v>
      </c>
      <c r="K23" s="14" t="s">
        <v>159</v>
      </c>
      <c r="L23" s="14" t="s">
        <v>160</v>
      </c>
      <c r="M23" s="14" t="s">
        <v>161</v>
      </c>
    </row>
    <row r="24" customFormat="false" ht="15" hidden="false" customHeight="true" outlineLevel="0" collapsed="false">
      <c r="B24" s="10" t="s">
        <v>162</v>
      </c>
      <c r="C24" s="49" t="n">
        <v>73.8</v>
      </c>
      <c r="D24" s="49" t="n">
        <v>65.6</v>
      </c>
      <c r="E24" s="49" t="n">
        <v>60.5</v>
      </c>
      <c r="F24" s="49" t="n">
        <v>56.6</v>
      </c>
      <c r="G24" s="49" t="n">
        <v>54</v>
      </c>
      <c r="H24" s="49" t="n">
        <v>52.5</v>
      </c>
      <c r="I24" s="49" t="n">
        <v>51.4</v>
      </c>
      <c r="J24" s="49" t="n">
        <v>50.5</v>
      </c>
      <c r="K24" s="49" t="n">
        <v>49.9</v>
      </c>
      <c r="L24" s="49" t="n">
        <v>49.5</v>
      </c>
    </row>
    <row r="25" customFormat="false" ht="15" hidden="false" customHeight="true" outlineLevel="0" collapsed="false">
      <c r="B25" s="10" t="s">
        <v>163</v>
      </c>
      <c r="C25" s="38" t="n">
        <f aca="false">C24*Production*365/1000000</f>
        <v>134.685</v>
      </c>
      <c r="D25" s="38" t="n">
        <f aca="false">D24*Production*365/1000000</f>
        <v>119.72</v>
      </c>
      <c r="E25" s="38" t="n">
        <f aca="false">E24*Production*365/1000000</f>
        <v>110.4125</v>
      </c>
      <c r="F25" s="38" t="n">
        <f aca="false">F24*Production*365/1000000</f>
        <v>103.295</v>
      </c>
      <c r="G25" s="38" t="n">
        <f aca="false">G24*Production*365/1000000</f>
        <v>98.55</v>
      </c>
      <c r="H25" s="38" t="n">
        <f aca="false">H24*Production*365/1000000</f>
        <v>95.8125</v>
      </c>
      <c r="I25" s="38" t="n">
        <f aca="false">I24*Production*365/1000000</f>
        <v>93.805</v>
      </c>
      <c r="J25" s="38" t="n">
        <f aca="false">J24*Production*365/1000000</f>
        <v>92.1625</v>
      </c>
      <c r="K25" s="38" t="n">
        <f aca="false">K24*Production*365/1000000</f>
        <v>91.0675</v>
      </c>
      <c r="L25" s="38" t="n">
        <f aca="false">L24*Production*365/1000000</f>
        <v>90.3375</v>
      </c>
      <c r="M25" s="38" t="n">
        <f aca="false">SUM(C25:L25)</f>
        <v>1029.8475</v>
      </c>
    </row>
    <row r="26" customFormat="false" ht="15" hidden="false" customHeight="true" outlineLevel="0" collapsed="false">
      <c r="B26" s="10" t="s">
        <v>164</v>
      </c>
      <c r="C26" s="38" t="n">
        <f aca="false">-ExtractCost*Production*365/1000000</f>
        <v>-63.875</v>
      </c>
      <c r="D26" s="38" t="n">
        <f aca="false">-ExtractCost*Production*365/1000000</f>
        <v>-63.875</v>
      </c>
      <c r="E26" s="38" t="n">
        <f aca="false">-ExtractCost*Production*365/1000000</f>
        <v>-63.875</v>
      </c>
      <c r="F26" s="38" t="n">
        <f aca="false">-ExtractCost*Production*365/1000000</f>
        <v>-63.875</v>
      </c>
      <c r="G26" s="38" t="n">
        <f aca="false">-ExtractCost*Production*365/1000000</f>
        <v>-63.875</v>
      </c>
      <c r="H26" s="38" t="n">
        <f aca="false">-ExtractCost*Production*365/1000000</f>
        <v>-63.875</v>
      </c>
      <c r="I26" s="38" t="n">
        <f aca="false">-ExtractCost*Production*365/1000000</f>
        <v>-63.875</v>
      </c>
      <c r="J26" s="38" t="n">
        <f aca="false">-ExtractCost*Production*365/1000000</f>
        <v>-63.875</v>
      </c>
      <c r="K26" s="38" t="n">
        <f aca="false">-ExtractCost*Production*365/1000000</f>
        <v>-63.875</v>
      </c>
      <c r="L26" s="38" t="n">
        <f aca="false">-ExtractCost*Production*365/1000000</f>
        <v>-63.875</v>
      </c>
      <c r="M26" s="38" t="n">
        <f aca="false">SUM(C26:L26)</f>
        <v>-638.75</v>
      </c>
    </row>
    <row r="27" customFormat="false" ht="15" hidden="false" customHeight="true" outlineLevel="0" collapsed="false">
      <c r="B27" s="10" t="s">
        <v>165</v>
      </c>
      <c r="C27" s="38" t="n">
        <f aca="false">-FixedOpEx/1000000</f>
        <v>-12</v>
      </c>
      <c r="D27" s="38" t="n">
        <f aca="false">-FixedOpEx/1000000</f>
        <v>-12</v>
      </c>
      <c r="E27" s="38" t="n">
        <f aca="false">-FixedOpEx/1000000</f>
        <v>-12</v>
      </c>
      <c r="F27" s="38" t="n">
        <f aca="false">-FixedOpEx/1000000</f>
        <v>-12</v>
      </c>
      <c r="G27" s="38" t="n">
        <f aca="false">-FixedOpEx/1000000</f>
        <v>-12</v>
      </c>
      <c r="H27" s="38" t="n">
        <f aca="false">-FixedOpEx/1000000</f>
        <v>-12</v>
      </c>
      <c r="I27" s="38" t="n">
        <f aca="false">-FixedOpEx/1000000</f>
        <v>-12</v>
      </c>
      <c r="J27" s="38" t="n">
        <f aca="false">-FixedOpEx/1000000</f>
        <v>-12</v>
      </c>
      <c r="K27" s="38" t="n">
        <f aca="false">-FixedOpEx/1000000</f>
        <v>-12</v>
      </c>
      <c r="L27" s="38" t="n">
        <f aca="false">-FixedOpEx/1000000</f>
        <v>-12</v>
      </c>
      <c r="M27" s="38" t="n">
        <f aca="false">SUM(C27:L27)</f>
        <v>-120</v>
      </c>
    </row>
    <row r="28" customFormat="false" ht="15" hidden="false" customHeight="true" outlineLevel="0" collapsed="false">
      <c r="B28" s="24" t="s">
        <v>166</v>
      </c>
      <c r="C28" s="38" t="n">
        <f aca="false">C25+C26+C27</f>
        <v>58.81</v>
      </c>
      <c r="D28" s="38" t="n">
        <f aca="false">D25+D26+D27</f>
        <v>43.845</v>
      </c>
      <c r="E28" s="38" t="n">
        <f aca="false">E25+E26+E27</f>
        <v>34.5375</v>
      </c>
      <c r="F28" s="38" t="n">
        <f aca="false">F25+F26+F27</f>
        <v>27.42</v>
      </c>
      <c r="G28" s="38" t="n">
        <f aca="false">G25+G26+G27</f>
        <v>22.675</v>
      </c>
      <c r="H28" s="38" t="n">
        <f aca="false">H25+H26+H27</f>
        <v>19.9375</v>
      </c>
      <c r="I28" s="38" t="n">
        <f aca="false">I25+I26+I27</f>
        <v>17.93</v>
      </c>
      <c r="J28" s="38" t="n">
        <f aca="false">J25+J26+J27</f>
        <v>16.2875</v>
      </c>
      <c r="K28" s="38" t="n">
        <f aca="false">K25+K26+K27</f>
        <v>15.1925</v>
      </c>
      <c r="L28" s="38" t="n">
        <f aca="false">L25+L26+L27</f>
        <v>14.4625</v>
      </c>
      <c r="M28" s="38" t="n">
        <f aca="false">SUM(C28:L28)</f>
        <v>271.0975</v>
      </c>
    </row>
    <row r="29" customFormat="false" ht="15" hidden="false" customHeight="true" outlineLevel="0" collapsed="false">
      <c r="B29" s="10" t="s">
        <v>167</v>
      </c>
      <c r="C29" s="38" t="n">
        <f aca="false">-CapEx/Horizon/1000000</f>
        <v>-15</v>
      </c>
      <c r="D29" s="38" t="n">
        <f aca="false">-CapEx/Horizon/1000000</f>
        <v>-15</v>
      </c>
      <c r="E29" s="38" t="n">
        <f aca="false">-CapEx/Horizon/1000000</f>
        <v>-15</v>
      </c>
      <c r="F29" s="38" t="n">
        <f aca="false">-CapEx/Horizon/1000000</f>
        <v>-15</v>
      </c>
      <c r="G29" s="38" t="n">
        <f aca="false">-CapEx/Horizon/1000000</f>
        <v>-15</v>
      </c>
      <c r="H29" s="38" t="n">
        <f aca="false">-CapEx/Horizon/1000000</f>
        <v>-15</v>
      </c>
      <c r="I29" s="38" t="n">
        <f aca="false">-CapEx/Horizon/1000000</f>
        <v>-15</v>
      </c>
      <c r="J29" s="38" t="n">
        <f aca="false">-CapEx/Horizon/1000000</f>
        <v>-15</v>
      </c>
      <c r="K29" s="38" t="n">
        <f aca="false">-CapEx/Horizon/1000000</f>
        <v>-15</v>
      </c>
      <c r="L29" s="38" t="n">
        <f aca="false">-CapEx/Horizon/1000000</f>
        <v>-15</v>
      </c>
      <c r="M29" s="38" t="n">
        <f aca="false">SUM(C29:L29)</f>
        <v>-150</v>
      </c>
    </row>
    <row r="30" customFormat="false" ht="15" hidden="false" customHeight="true" outlineLevel="0" collapsed="false">
      <c r="B30" s="24" t="s">
        <v>168</v>
      </c>
      <c r="C30" s="38" t="n">
        <f aca="false">C28+C29</f>
        <v>43.81</v>
      </c>
      <c r="D30" s="38" t="n">
        <f aca="false">D28+D29</f>
        <v>28.845</v>
      </c>
      <c r="E30" s="38" t="n">
        <f aca="false">E28+E29</f>
        <v>19.5375</v>
      </c>
      <c r="F30" s="38" t="n">
        <f aca="false">F28+F29</f>
        <v>12.42</v>
      </c>
      <c r="G30" s="38" t="n">
        <f aca="false">G28+G29</f>
        <v>7.675</v>
      </c>
      <c r="H30" s="38" t="n">
        <f aca="false">H28+H29</f>
        <v>4.9375</v>
      </c>
      <c r="I30" s="38" t="n">
        <f aca="false">I28+I29</f>
        <v>2.93000000000001</v>
      </c>
      <c r="J30" s="38" t="n">
        <f aca="false">J28+J29</f>
        <v>1.28749999999999</v>
      </c>
      <c r="K30" s="38" t="n">
        <f aca="false">K28+K29</f>
        <v>0.192499999999995</v>
      </c>
      <c r="L30" s="38" t="n">
        <f aca="false">L28+L29</f>
        <v>-0.537499999999994</v>
      </c>
      <c r="M30" s="38" t="n">
        <f aca="false">SUM(C30:L30)</f>
        <v>121.0975</v>
      </c>
    </row>
    <row r="31" customFormat="false" ht="15" hidden="false" customHeight="true" outlineLevel="0" collapsed="false">
      <c r="B31" s="10" t="s">
        <v>169</v>
      </c>
      <c r="C31" s="38" t="n">
        <f aca="false">-MAX(C30*Tax_Rate,0)</f>
        <v>-9.2001</v>
      </c>
      <c r="D31" s="38" t="n">
        <f aca="false">-MAX(D30*Tax_Rate,0)</f>
        <v>-6.05745</v>
      </c>
      <c r="E31" s="38" t="n">
        <f aca="false">-MAX(E30*Tax_Rate,0)</f>
        <v>-4.102875</v>
      </c>
      <c r="F31" s="38" t="n">
        <f aca="false">-MAX(F30*Tax_Rate,0)</f>
        <v>-2.6082</v>
      </c>
      <c r="G31" s="38" t="n">
        <f aca="false">-MAX(G30*Tax_Rate,0)</f>
        <v>-1.61175</v>
      </c>
      <c r="H31" s="38" t="n">
        <f aca="false">-MAX(H30*Tax_Rate,0)</f>
        <v>-1.036875</v>
      </c>
      <c r="I31" s="38" t="n">
        <f aca="false">-MAX(I30*Tax_Rate,0)</f>
        <v>-0.615300000000001</v>
      </c>
      <c r="J31" s="38" t="n">
        <f aca="false">-MAX(J30*Tax_Rate,0)</f>
        <v>-0.270374999999999</v>
      </c>
      <c r="K31" s="38" t="n">
        <f aca="false">-MAX(K30*Tax_Rate,0)</f>
        <v>-0.040424999999999</v>
      </c>
      <c r="L31" s="38" t="n">
        <f aca="false">-MAX(L30*Tax_Rate,0)</f>
        <v>-0</v>
      </c>
      <c r="M31" s="38" t="n">
        <f aca="false">SUM(C31:L31)</f>
        <v>-25.54335</v>
      </c>
    </row>
    <row r="32" customFormat="false" ht="15" hidden="false" customHeight="true" outlineLevel="0" collapsed="false">
      <c r="B32" s="9" t="s">
        <v>170</v>
      </c>
      <c r="C32" s="38" t="n">
        <f aca="false">C30+C31</f>
        <v>34.6099</v>
      </c>
      <c r="D32" s="38" t="n">
        <f aca="false">D30+D31</f>
        <v>22.78755</v>
      </c>
      <c r="E32" s="38" t="n">
        <f aca="false">E30+E31</f>
        <v>15.434625</v>
      </c>
      <c r="F32" s="38" t="n">
        <f aca="false">F30+F31</f>
        <v>9.8118</v>
      </c>
      <c r="G32" s="38" t="n">
        <f aca="false">G30+G31</f>
        <v>6.06325</v>
      </c>
      <c r="H32" s="38" t="n">
        <f aca="false">H30+H31</f>
        <v>3.900625</v>
      </c>
      <c r="I32" s="38" t="n">
        <f aca="false">I30+I31</f>
        <v>2.31470000000001</v>
      </c>
      <c r="J32" s="38" t="n">
        <f aca="false">J30+J31</f>
        <v>1.017125</v>
      </c>
      <c r="K32" s="38" t="n">
        <f aca="false">K30+K31</f>
        <v>0.152074999999996</v>
      </c>
      <c r="L32" s="38" t="n">
        <f aca="false">L30+L31</f>
        <v>-0.537499999999994</v>
      </c>
      <c r="M32" s="38" t="n">
        <f aca="false">SUM(C32:L32)</f>
        <v>95.55415</v>
      </c>
    </row>
    <row r="33" customFormat="false" ht="15" hidden="false" customHeight="true" outlineLevel="0" collapsed="false">
      <c r="B33" s="10" t="s">
        <v>171</v>
      </c>
      <c r="C33" s="38" t="n">
        <f aca="false">CapEx/Horizon/1000000</f>
        <v>15</v>
      </c>
      <c r="D33" s="38" t="n">
        <f aca="false">CapEx/Horizon/1000000</f>
        <v>15</v>
      </c>
      <c r="E33" s="38" t="n">
        <f aca="false">CapEx/Horizon/1000000</f>
        <v>15</v>
      </c>
      <c r="F33" s="38" t="n">
        <f aca="false">CapEx/Horizon/1000000</f>
        <v>15</v>
      </c>
      <c r="G33" s="38" t="n">
        <f aca="false">CapEx/Horizon/1000000</f>
        <v>15</v>
      </c>
      <c r="H33" s="38" t="n">
        <f aca="false">CapEx/Horizon/1000000</f>
        <v>15</v>
      </c>
      <c r="I33" s="38" t="n">
        <f aca="false">CapEx/Horizon/1000000</f>
        <v>15</v>
      </c>
      <c r="J33" s="38" t="n">
        <f aca="false">CapEx/Horizon/1000000</f>
        <v>15</v>
      </c>
      <c r="K33" s="38" t="n">
        <f aca="false">CapEx/Horizon/1000000</f>
        <v>15</v>
      </c>
      <c r="L33" s="38" t="n">
        <f aca="false">CapEx/Horizon/1000000</f>
        <v>15</v>
      </c>
      <c r="M33" s="38" t="n">
        <f aca="false">SUM(C33:L33)</f>
        <v>150</v>
      </c>
    </row>
    <row r="34" customFormat="false" ht="15" hidden="false" customHeight="true" outlineLevel="0" collapsed="false">
      <c r="B34" s="10" t="s">
        <v>172</v>
      </c>
      <c r="C34" s="38" t="n">
        <f aca="false">-0.05*C25</f>
        <v>-6.73425</v>
      </c>
      <c r="D34" s="38" t="n">
        <f aca="false">-0.05*(D25-C25)</f>
        <v>0.74825</v>
      </c>
      <c r="E34" s="38" t="n">
        <f aca="false">-0.05*(E25-D25)</f>
        <v>0.465375</v>
      </c>
      <c r="F34" s="38" t="n">
        <f aca="false">-0.05*(F25-E25)</f>
        <v>0.355875</v>
      </c>
      <c r="G34" s="38" t="n">
        <f aca="false">-0.05*(G25-F25)</f>
        <v>0.23725</v>
      </c>
      <c r="H34" s="38" t="n">
        <f aca="false">-0.05*(H25-G25)</f>
        <v>0.136875</v>
      </c>
      <c r="I34" s="38" t="n">
        <f aca="false">-0.05*(I25-H25)</f>
        <v>0.100375</v>
      </c>
      <c r="J34" s="38" t="n">
        <f aca="false">-0.05*(J25-I25)</f>
        <v>0.0821250000000006</v>
      </c>
      <c r="K34" s="38" t="n">
        <f aca="false">-0.05*(K25-J25)</f>
        <v>0.0547499999999999</v>
      </c>
      <c r="L34" s="38" t="n">
        <f aca="false">-0.05*(L25-K25)</f>
        <v>0.0364999999999995</v>
      </c>
      <c r="M34" s="38" t="n">
        <f aca="false">SUM(C34:L34)</f>
        <v>-4.516875</v>
      </c>
    </row>
    <row r="35" customFormat="false" ht="15" hidden="false" customHeight="true" outlineLevel="0" collapsed="false">
      <c r="B35" s="23" t="s">
        <v>173</v>
      </c>
      <c r="C35" s="50" t="n">
        <f aca="false">C32+C33+C34</f>
        <v>42.87565</v>
      </c>
      <c r="D35" s="50" t="n">
        <f aca="false">D32+D33+D34</f>
        <v>38.5358</v>
      </c>
      <c r="E35" s="50" t="n">
        <f aca="false">E32+E33+E34</f>
        <v>30.9</v>
      </c>
      <c r="F35" s="50" t="n">
        <f aca="false">F32+F33+F34</f>
        <v>25.167675</v>
      </c>
      <c r="G35" s="50" t="n">
        <f aca="false">G32+G33+G34</f>
        <v>21.3005</v>
      </c>
      <c r="H35" s="50" t="n">
        <f aca="false">H32+H33+H34</f>
        <v>19.0375</v>
      </c>
      <c r="I35" s="50" t="n">
        <f aca="false">I32+I33+I34</f>
        <v>17.415075</v>
      </c>
      <c r="J35" s="50" t="n">
        <f aca="false">J32+J33+J34</f>
        <v>16.09925</v>
      </c>
      <c r="K35" s="50" t="n">
        <f aca="false">K32+K33+K34</f>
        <v>15.206825</v>
      </c>
      <c r="L35" s="50" t="n">
        <f aca="false">L32+L33+L34</f>
        <v>14.499</v>
      </c>
      <c r="M35" s="51" t="n">
        <f aca="false">SUM(C35:L35)</f>
        <v>241.037275</v>
      </c>
    </row>
    <row r="36" customFormat="false" ht="15" hidden="false" customHeight="true" outlineLevel="0" collapsed="false">
      <c r="B36" s="10" t="s">
        <v>174</v>
      </c>
      <c r="C36" s="38" t="n">
        <f aca="false">C35/(1+WACC_Opt)^1</f>
        <v>39.2095564700503</v>
      </c>
      <c r="D36" s="38" t="n">
        <f aca="false">D35/(1+WACC_Opt)^2</f>
        <v>32.2275139144745</v>
      </c>
      <c r="E36" s="38" t="n">
        <f aca="false">E35/(1+WACC_Opt)^3</f>
        <v>23.6320892041297</v>
      </c>
      <c r="F36" s="38" t="n">
        <f aca="false">F35/(1+WACC_Opt)^4</f>
        <v>17.6022403836896</v>
      </c>
      <c r="G36" s="38" t="n">
        <f aca="false">G35/(1+WACC_Opt)^5</f>
        <v>13.6237247650708</v>
      </c>
      <c r="H36" s="38" t="n">
        <f aca="false">H35/(1+WACC_Opt)^6</f>
        <v>11.1351787260216</v>
      </c>
      <c r="I36" s="38" t="n">
        <f aca="false">I35/(1+WACC_Opt)^7</f>
        <v>9.3152354716872</v>
      </c>
      <c r="J36" s="38" t="n">
        <f aca="false">J35/(1+WACC_Opt)^8</f>
        <v>7.87508672994139</v>
      </c>
      <c r="K36" s="38" t="n">
        <f aca="false">K35/(1+WACC_Opt)^9</f>
        <v>6.8025142740167</v>
      </c>
      <c r="L36" s="38" t="n">
        <f aca="false">L35/(1+WACC_Opt)^10</f>
        <v>5.93130389637543</v>
      </c>
      <c r="M36" s="38" t="n">
        <f aca="false">SUM(C36:L36)</f>
        <v>167.354443835457</v>
      </c>
    </row>
    <row r="37" customFormat="false" ht="15" hidden="false" customHeight="true" outlineLevel="0" collapsed="false">
      <c r="B37" s="52" t="s">
        <v>175</v>
      </c>
      <c r="M37" s="53" t="n">
        <f aca="false">M36-CapEx/1000000</f>
        <v>17.3544438354572</v>
      </c>
    </row>
    <row r="39" customFormat="false" ht="15" hidden="false" customHeight="true" outlineLevel="0" collapsed="false">
      <c r="B39" s="44" t="s">
        <v>177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customFormat="false" ht="15" hidden="false" customHeight="true" outlineLevel="0" collapsed="false">
      <c r="B40" s="14" t="s">
        <v>150</v>
      </c>
      <c r="C40" s="14" t="s">
        <v>151</v>
      </c>
      <c r="D40" s="14" t="s">
        <v>152</v>
      </c>
      <c r="E40" s="14" t="s">
        <v>153</v>
      </c>
      <c r="F40" s="14" t="s">
        <v>154</v>
      </c>
      <c r="G40" s="14" t="s">
        <v>155</v>
      </c>
      <c r="H40" s="14" t="s">
        <v>156</v>
      </c>
      <c r="I40" s="14" t="s">
        <v>157</v>
      </c>
      <c r="J40" s="14" t="s">
        <v>158</v>
      </c>
      <c r="K40" s="14" t="s">
        <v>159</v>
      </c>
      <c r="L40" s="14" t="s">
        <v>160</v>
      </c>
      <c r="M40" s="14" t="s">
        <v>161</v>
      </c>
    </row>
    <row r="41" customFormat="false" ht="15" hidden="false" customHeight="true" outlineLevel="0" collapsed="false">
      <c r="B41" s="10" t="s">
        <v>162</v>
      </c>
      <c r="C41" s="49" t="n">
        <v>128.5</v>
      </c>
      <c r="D41" s="49" t="n">
        <v>110.7</v>
      </c>
      <c r="E41" s="49" t="n">
        <v>99.7</v>
      </c>
      <c r="F41" s="49" t="n">
        <v>92.5</v>
      </c>
      <c r="G41" s="49" t="n">
        <v>87</v>
      </c>
      <c r="H41" s="49" t="n">
        <v>83</v>
      </c>
      <c r="I41" s="49" t="n">
        <v>80.5</v>
      </c>
      <c r="J41" s="49" t="n">
        <v>78.4</v>
      </c>
      <c r="K41" s="49" t="n">
        <v>76.7</v>
      </c>
      <c r="L41" s="49" t="n">
        <v>74.7</v>
      </c>
    </row>
    <row r="42" customFormat="false" ht="15" hidden="false" customHeight="true" outlineLevel="0" collapsed="false">
      <c r="B42" s="10" t="s">
        <v>163</v>
      </c>
      <c r="C42" s="38" t="n">
        <f aca="false">C41*Production*365/1000000</f>
        <v>234.5125</v>
      </c>
      <c r="D42" s="38" t="n">
        <f aca="false">D41*Production*365/1000000</f>
        <v>202.0275</v>
      </c>
      <c r="E42" s="38" t="n">
        <f aca="false">E41*Production*365/1000000</f>
        <v>181.9525</v>
      </c>
      <c r="F42" s="38" t="n">
        <f aca="false">F41*Production*365/1000000</f>
        <v>168.8125</v>
      </c>
      <c r="G42" s="38" t="n">
        <f aca="false">G41*Production*365/1000000</f>
        <v>158.775</v>
      </c>
      <c r="H42" s="38" t="n">
        <f aca="false">H41*Production*365/1000000</f>
        <v>151.475</v>
      </c>
      <c r="I42" s="38" t="n">
        <f aca="false">I41*Production*365/1000000</f>
        <v>146.9125</v>
      </c>
      <c r="J42" s="38" t="n">
        <f aca="false">J41*Production*365/1000000</f>
        <v>143.08</v>
      </c>
      <c r="K42" s="38" t="n">
        <f aca="false">K41*Production*365/1000000</f>
        <v>139.9775</v>
      </c>
      <c r="L42" s="38" t="n">
        <f aca="false">L41*Production*365/1000000</f>
        <v>136.3275</v>
      </c>
      <c r="M42" s="38" t="n">
        <f aca="false">SUM(C42:L42)</f>
        <v>1663.8525</v>
      </c>
    </row>
    <row r="43" customFormat="false" ht="15" hidden="false" customHeight="true" outlineLevel="0" collapsed="false">
      <c r="B43" s="10" t="s">
        <v>164</v>
      </c>
      <c r="C43" s="38" t="n">
        <f aca="false">-ExtractCost*Production*365/1000000</f>
        <v>-63.875</v>
      </c>
      <c r="D43" s="38" t="n">
        <f aca="false">-ExtractCost*Production*365/1000000</f>
        <v>-63.875</v>
      </c>
      <c r="E43" s="38" t="n">
        <f aca="false">-ExtractCost*Production*365/1000000</f>
        <v>-63.875</v>
      </c>
      <c r="F43" s="38" t="n">
        <f aca="false">-ExtractCost*Production*365/1000000</f>
        <v>-63.875</v>
      </c>
      <c r="G43" s="38" t="n">
        <f aca="false">-ExtractCost*Production*365/1000000</f>
        <v>-63.875</v>
      </c>
      <c r="H43" s="38" t="n">
        <f aca="false">-ExtractCost*Production*365/1000000</f>
        <v>-63.875</v>
      </c>
      <c r="I43" s="38" t="n">
        <f aca="false">-ExtractCost*Production*365/1000000</f>
        <v>-63.875</v>
      </c>
      <c r="J43" s="38" t="n">
        <f aca="false">-ExtractCost*Production*365/1000000</f>
        <v>-63.875</v>
      </c>
      <c r="K43" s="38" t="n">
        <f aca="false">-ExtractCost*Production*365/1000000</f>
        <v>-63.875</v>
      </c>
      <c r="L43" s="38" t="n">
        <f aca="false">-ExtractCost*Production*365/1000000</f>
        <v>-63.875</v>
      </c>
      <c r="M43" s="38" t="n">
        <f aca="false">SUM(C43:L43)</f>
        <v>-638.75</v>
      </c>
    </row>
    <row r="44" customFormat="false" ht="15" hidden="false" customHeight="true" outlineLevel="0" collapsed="false">
      <c r="B44" s="10" t="s">
        <v>165</v>
      </c>
      <c r="C44" s="38" t="n">
        <f aca="false">-FixedOpEx/1000000</f>
        <v>-12</v>
      </c>
      <c r="D44" s="38" t="n">
        <f aca="false">-FixedOpEx/1000000</f>
        <v>-12</v>
      </c>
      <c r="E44" s="38" t="n">
        <f aca="false">-FixedOpEx/1000000</f>
        <v>-12</v>
      </c>
      <c r="F44" s="38" t="n">
        <f aca="false">-FixedOpEx/1000000</f>
        <v>-12</v>
      </c>
      <c r="G44" s="38" t="n">
        <f aca="false">-FixedOpEx/1000000</f>
        <v>-12</v>
      </c>
      <c r="H44" s="38" t="n">
        <f aca="false">-FixedOpEx/1000000</f>
        <v>-12</v>
      </c>
      <c r="I44" s="38" t="n">
        <f aca="false">-FixedOpEx/1000000</f>
        <v>-12</v>
      </c>
      <c r="J44" s="38" t="n">
        <f aca="false">-FixedOpEx/1000000</f>
        <v>-12</v>
      </c>
      <c r="K44" s="38" t="n">
        <f aca="false">-FixedOpEx/1000000</f>
        <v>-12</v>
      </c>
      <c r="L44" s="38" t="n">
        <f aca="false">-FixedOpEx/1000000</f>
        <v>-12</v>
      </c>
      <c r="M44" s="38" t="n">
        <f aca="false">SUM(C44:L44)</f>
        <v>-120</v>
      </c>
    </row>
    <row r="45" customFormat="false" ht="15" hidden="false" customHeight="true" outlineLevel="0" collapsed="false">
      <c r="B45" s="24" t="s">
        <v>166</v>
      </c>
      <c r="C45" s="38" t="n">
        <f aca="false">C42+C43+C44</f>
        <v>158.6375</v>
      </c>
      <c r="D45" s="38" t="n">
        <f aca="false">D42+D43+D44</f>
        <v>126.1525</v>
      </c>
      <c r="E45" s="38" t="n">
        <f aca="false">E42+E43+E44</f>
        <v>106.0775</v>
      </c>
      <c r="F45" s="38" t="n">
        <f aca="false">F42+F43+F44</f>
        <v>92.9375</v>
      </c>
      <c r="G45" s="38" t="n">
        <f aca="false">G42+G43+G44</f>
        <v>82.9</v>
      </c>
      <c r="H45" s="38" t="n">
        <f aca="false">H42+H43+H44</f>
        <v>75.6</v>
      </c>
      <c r="I45" s="38" t="n">
        <f aca="false">I42+I43+I44</f>
        <v>71.0375</v>
      </c>
      <c r="J45" s="38" t="n">
        <f aca="false">J42+J43+J44</f>
        <v>67.205</v>
      </c>
      <c r="K45" s="38" t="n">
        <f aca="false">K42+K43+K44</f>
        <v>64.1025</v>
      </c>
      <c r="L45" s="38" t="n">
        <f aca="false">L42+L43+L44</f>
        <v>60.4525</v>
      </c>
      <c r="M45" s="38" t="n">
        <f aca="false">SUM(C45:L45)</f>
        <v>905.1025</v>
      </c>
    </row>
    <row r="46" customFormat="false" ht="15" hidden="false" customHeight="true" outlineLevel="0" collapsed="false">
      <c r="B46" s="10" t="s">
        <v>167</v>
      </c>
      <c r="C46" s="38" t="n">
        <f aca="false">-CapEx/Horizon/1000000</f>
        <v>-15</v>
      </c>
      <c r="D46" s="38" t="n">
        <f aca="false">-CapEx/Horizon/1000000</f>
        <v>-15</v>
      </c>
      <c r="E46" s="38" t="n">
        <f aca="false">-CapEx/Horizon/1000000</f>
        <v>-15</v>
      </c>
      <c r="F46" s="38" t="n">
        <f aca="false">-CapEx/Horizon/1000000</f>
        <v>-15</v>
      </c>
      <c r="G46" s="38" t="n">
        <f aca="false">-CapEx/Horizon/1000000</f>
        <v>-15</v>
      </c>
      <c r="H46" s="38" t="n">
        <f aca="false">-CapEx/Horizon/1000000</f>
        <v>-15</v>
      </c>
      <c r="I46" s="38" t="n">
        <f aca="false">-CapEx/Horizon/1000000</f>
        <v>-15</v>
      </c>
      <c r="J46" s="38" t="n">
        <f aca="false">-CapEx/Horizon/1000000</f>
        <v>-15</v>
      </c>
      <c r="K46" s="38" t="n">
        <f aca="false">-CapEx/Horizon/1000000</f>
        <v>-15</v>
      </c>
      <c r="L46" s="38" t="n">
        <f aca="false">-CapEx/Horizon/1000000</f>
        <v>-15</v>
      </c>
      <c r="M46" s="38" t="n">
        <f aca="false">SUM(C46:L46)</f>
        <v>-150</v>
      </c>
    </row>
    <row r="47" customFormat="false" ht="15" hidden="false" customHeight="true" outlineLevel="0" collapsed="false">
      <c r="B47" s="24" t="s">
        <v>168</v>
      </c>
      <c r="C47" s="38" t="n">
        <f aca="false">C45+C46</f>
        <v>143.6375</v>
      </c>
      <c r="D47" s="38" t="n">
        <f aca="false">D45+D46</f>
        <v>111.1525</v>
      </c>
      <c r="E47" s="38" t="n">
        <f aca="false">E45+E46</f>
        <v>91.0775</v>
      </c>
      <c r="F47" s="38" t="n">
        <f aca="false">F45+F46</f>
        <v>77.9375</v>
      </c>
      <c r="G47" s="38" t="n">
        <f aca="false">G45+G46</f>
        <v>67.9</v>
      </c>
      <c r="H47" s="38" t="n">
        <f aca="false">H45+H46</f>
        <v>60.6</v>
      </c>
      <c r="I47" s="38" t="n">
        <f aca="false">I45+I46</f>
        <v>56.0375</v>
      </c>
      <c r="J47" s="38" t="n">
        <f aca="false">J45+J46</f>
        <v>52.205</v>
      </c>
      <c r="K47" s="38" t="n">
        <f aca="false">K45+K46</f>
        <v>49.1025</v>
      </c>
      <c r="L47" s="38" t="n">
        <f aca="false">L45+L46</f>
        <v>45.4525</v>
      </c>
      <c r="M47" s="38" t="n">
        <f aca="false">SUM(C47:L47)</f>
        <v>755.1025</v>
      </c>
    </row>
    <row r="48" customFormat="false" ht="15" hidden="false" customHeight="true" outlineLevel="0" collapsed="false">
      <c r="B48" s="10" t="s">
        <v>169</v>
      </c>
      <c r="C48" s="38" t="n">
        <f aca="false">-MAX(C47*Tax_Rate,0)</f>
        <v>-30.163875</v>
      </c>
      <c r="D48" s="38" t="n">
        <f aca="false">-MAX(D47*Tax_Rate,0)</f>
        <v>-23.342025</v>
      </c>
      <c r="E48" s="38" t="n">
        <f aca="false">-MAX(E47*Tax_Rate,0)</f>
        <v>-19.126275</v>
      </c>
      <c r="F48" s="38" t="n">
        <f aca="false">-MAX(F47*Tax_Rate,0)</f>
        <v>-16.366875</v>
      </c>
      <c r="G48" s="38" t="n">
        <f aca="false">-MAX(G47*Tax_Rate,0)</f>
        <v>-14.259</v>
      </c>
      <c r="H48" s="38" t="n">
        <f aca="false">-MAX(H47*Tax_Rate,0)</f>
        <v>-12.726</v>
      </c>
      <c r="I48" s="38" t="n">
        <f aca="false">-MAX(I47*Tax_Rate,0)</f>
        <v>-11.767875</v>
      </c>
      <c r="J48" s="38" t="n">
        <f aca="false">-MAX(J47*Tax_Rate,0)</f>
        <v>-10.96305</v>
      </c>
      <c r="K48" s="38" t="n">
        <f aca="false">-MAX(K47*Tax_Rate,0)</f>
        <v>-10.311525</v>
      </c>
      <c r="L48" s="38" t="n">
        <f aca="false">-MAX(L47*Tax_Rate,0)</f>
        <v>-9.545025</v>
      </c>
      <c r="M48" s="38" t="n">
        <f aca="false">SUM(C48:L48)</f>
        <v>-158.571525</v>
      </c>
    </row>
    <row r="49" customFormat="false" ht="15" hidden="false" customHeight="true" outlineLevel="0" collapsed="false">
      <c r="B49" s="9" t="s">
        <v>170</v>
      </c>
      <c r="C49" s="38" t="n">
        <f aca="false">C47+C48</f>
        <v>113.473625</v>
      </c>
      <c r="D49" s="38" t="n">
        <f aca="false">D47+D48</f>
        <v>87.810475</v>
      </c>
      <c r="E49" s="38" t="n">
        <f aca="false">E47+E48</f>
        <v>71.951225</v>
      </c>
      <c r="F49" s="38" t="n">
        <f aca="false">F47+F48</f>
        <v>61.570625</v>
      </c>
      <c r="G49" s="38" t="n">
        <f aca="false">G47+G48</f>
        <v>53.641</v>
      </c>
      <c r="H49" s="38" t="n">
        <f aca="false">H47+H48</f>
        <v>47.874</v>
      </c>
      <c r="I49" s="38" t="n">
        <f aca="false">I47+I48</f>
        <v>44.269625</v>
      </c>
      <c r="J49" s="38" t="n">
        <f aca="false">J47+J48</f>
        <v>41.24195</v>
      </c>
      <c r="K49" s="38" t="n">
        <f aca="false">K47+K48</f>
        <v>38.790975</v>
      </c>
      <c r="L49" s="38" t="n">
        <f aca="false">L47+L48</f>
        <v>35.907475</v>
      </c>
      <c r="M49" s="38" t="n">
        <f aca="false">SUM(C49:L49)</f>
        <v>596.530975</v>
      </c>
    </row>
    <row r="50" customFormat="false" ht="15" hidden="false" customHeight="true" outlineLevel="0" collapsed="false">
      <c r="B50" s="10" t="s">
        <v>171</v>
      </c>
      <c r="C50" s="38" t="n">
        <f aca="false">CapEx/Horizon/1000000</f>
        <v>15</v>
      </c>
      <c r="D50" s="38" t="n">
        <f aca="false">CapEx/Horizon/1000000</f>
        <v>15</v>
      </c>
      <c r="E50" s="38" t="n">
        <f aca="false">CapEx/Horizon/1000000</f>
        <v>15</v>
      </c>
      <c r="F50" s="38" t="n">
        <f aca="false">CapEx/Horizon/1000000</f>
        <v>15</v>
      </c>
      <c r="G50" s="38" t="n">
        <f aca="false">CapEx/Horizon/1000000</f>
        <v>15</v>
      </c>
      <c r="H50" s="38" t="n">
        <f aca="false">CapEx/Horizon/1000000</f>
        <v>15</v>
      </c>
      <c r="I50" s="38" t="n">
        <f aca="false">CapEx/Horizon/1000000</f>
        <v>15</v>
      </c>
      <c r="J50" s="38" t="n">
        <f aca="false">CapEx/Horizon/1000000</f>
        <v>15</v>
      </c>
      <c r="K50" s="38" t="n">
        <f aca="false">CapEx/Horizon/1000000</f>
        <v>15</v>
      </c>
      <c r="L50" s="38" t="n">
        <f aca="false">CapEx/Horizon/1000000</f>
        <v>15</v>
      </c>
      <c r="M50" s="38" t="n">
        <f aca="false">SUM(C50:L50)</f>
        <v>150</v>
      </c>
    </row>
    <row r="51" customFormat="false" ht="15" hidden="false" customHeight="true" outlineLevel="0" collapsed="false">
      <c r="B51" s="10" t="s">
        <v>172</v>
      </c>
      <c r="C51" s="38" t="n">
        <f aca="false">-0.05*C42</f>
        <v>-11.725625</v>
      </c>
      <c r="D51" s="38" t="n">
        <f aca="false">-0.05*(D42-C42)</f>
        <v>1.62425</v>
      </c>
      <c r="E51" s="38" t="n">
        <f aca="false">-0.05*(E42-D42)</f>
        <v>1.00375</v>
      </c>
      <c r="F51" s="38" t="n">
        <f aca="false">-0.05*(F42-E42)</f>
        <v>0.656999999999999</v>
      </c>
      <c r="G51" s="38" t="n">
        <f aca="false">-0.05*(G42-F42)</f>
        <v>0.501875</v>
      </c>
      <c r="H51" s="38" t="n">
        <f aca="false">-0.05*(H42-G42)</f>
        <v>0.365000000000001</v>
      </c>
      <c r="I51" s="38" t="n">
        <f aca="false">-0.05*(I42-H42)</f>
        <v>0.228125</v>
      </c>
      <c r="J51" s="38" t="n">
        <f aca="false">-0.05*(J42-I42)</f>
        <v>0.191624999999999</v>
      </c>
      <c r="K51" s="38" t="n">
        <f aca="false">-0.05*(K42-J42)</f>
        <v>0.155125000000001</v>
      </c>
      <c r="L51" s="38" t="n">
        <f aca="false">-0.05*(L42-K42)</f>
        <v>0.1825</v>
      </c>
      <c r="M51" s="38" t="n">
        <f aca="false">SUM(C51:L51)</f>
        <v>-6.816375</v>
      </c>
    </row>
    <row r="52" customFormat="false" ht="15" hidden="false" customHeight="true" outlineLevel="0" collapsed="false">
      <c r="B52" s="23" t="s">
        <v>173</v>
      </c>
      <c r="C52" s="50" t="n">
        <f aca="false">C49+C50+C51</f>
        <v>116.748</v>
      </c>
      <c r="D52" s="50" t="n">
        <f aca="false">D49+D50+D51</f>
        <v>104.434725</v>
      </c>
      <c r="E52" s="50" t="n">
        <f aca="false">E49+E50+E51</f>
        <v>87.954975</v>
      </c>
      <c r="F52" s="50" t="n">
        <f aca="false">F49+F50+F51</f>
        <v>77.227625</v>
      </c>
      <c r="G52" s="50" t="n">
        <f aca="false">G49+G50+G51</f>
        <v>69.142875</v>
      </c>
      <c r="H52" s="50" t="n">
        <f aca="false">H49+H50+H51</f>
        <v>63.239</v>
      </c>
      <c r="I52" s="50" t="n">
        <f aca="false">I49+I50+I51</f>
        <v>59.49775</v>
      </c>
      <c r="J52" s="50" t="n">
        <f aca="false">J49+J50+J51</f>
        <v>56.433575</v>
      </c>
      <c r="K52" s="50" t="n">
        <f aca="false">K49+K50+K51</f>
        <v>53.9461</v>
      </c>
      <c r="L52" s="50" t="n">
        <f aca="false">L49+L50+L51</f>
        <v>51.089975</v>
      </c>
      <c r="M52" s="51" t="n">
        <f aca="false">SUM(C52:L52)</f>
        <v>739.7146</v>
      </c>
    </row>
    <row r="53" customFormat="false" ht="15" hidden="false" customHeight="true" outlineLevel="0" collapsed="false">
      <c r="B53" s="10" t="s">
        <v>174</v>
      </c>
      <c r="C53" s="38" t="n">
        <f aca="false">C52/(1+WACC_Opt)^1</f>
        <v>106.765432098765</v>
      </c>
      <c r="D53" s="38" t="n">
        <f aca="false">D52/(1+WACC_Opt)^2</f>
        <v>87.338826574038</v>
      </c>
      <c r="E53" s="38" t="n">
        <f aca="false">E52/(1+WACC_Opt)^3</f>
        <v>67.2673079335599</v>
      </c>
      <c r="F53" s="38" t="n">
        <f aca="false">F52/(1+WACC_Opt)^4</f>
        <v>54.012904231775</v>
      </c>
      <c r="G53" s="38" t="n">
        <f aca="false">G52/(1+WACC_Opt)^5</f>
        <v>44.223539281505</v>
      </c>
      <c r="H53" s="38" t="n">
        <f aca="false">H52/(1+WACC_Opt)^6</f>
        <v>36.988972683119</v>
      </c>
      <c r="I53" s="38" t="n">
        <f aca="false">I52/(1+WACC_Opt)^7</f>
        <v>31.8250453291517</v>
      </c>
      <c r="J53" s="38" t="n">
        <f aca="false">J52/(1+WACC_Opt)^8</f>
        <v>27.6049690268585</v>
      </c>
      <c r="K53" s="38" t="n">
        <f aca="false">K52/(1+WACC_Opt)^9</f>
        <v>24.1318694255726</v>
      </c>
      <c r="L53" s="38" t="n">
        <f aca="false">L52/(1+WACC_Opt)^10</f>
        <v>20.9000736453013</v>
      </c>
      <c r="M53" s="38" t="n">
        <f aca="false">SUM(C53:L53)</f>
        <v>501.058940229646</v>
      </c>
    </row>
    <row r="54" customFormat="false" ht="15" hidden="false" customHeight="true" outlineLevel="0" collapsed="false">
      <c r="B54" s="52" t="s">
        <v>175</v>
      </c>
      <c r="M54" s="53" t="n">
        <f aca="false">M53-CapEx/1000000</f>
        <v>351.058940229646</v>
      </c>
    </row>
  </sheetData>
  <mergeCells count="3">
    <mergeCell ref="B5:M5"/>
    <mergeCell ref="B22:M22"/>
    <mergeCell ref="B39:M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8"/>
    <col collapsed="false" customWidth="true" hidden="false" outlineLevel="0" max="3" min="3" style="1" width="30"/>
  </cols>
  <sheetData>
    <row r="2" customFormat="false" ht="17.25" hidden="false" customHeight="true" outlineLevel="0" collapsed="false">
      <c r="B2" s="4" t="s">
        <v>178</v>
      </c>
    </row>
    <row r="3" customFormat="false" ht="15" hidden="false" customHeight="true" outlineLevel="0" collapsed="false">
      <c r="B3" s="13" t="s">
        <v>179</v>
      </c>
    </row>
    <row r="5" customFormat="false" ht="15" hidden="false" customHeight="true" outlineLevel="0" collapsed="false">
      <c r="B5" s="14" t="s">
        <v>180</v>
      </c>
      <c r="C5" s="14" t="s">
        <v>53</v>
      </c>
    </row>
    <row r="6" customFormat="false" ht="15" hidden="false" customHeight="true" outlineLevel="0" collapsed="false">
      <c r="B6" s="10" t="s">
        <v>181</v>
      </c>
      <c r="C6" s="6" t="s">
        <v>182</v>
      </c>
    </row>
    <row r="7" customFormat="false" ht="15" hidden="false" customHeight="true" outlineLevel="0" collapsed="false">
      <c r="B7" s="10" t="s">
        <v>183</v>
      </c>
      <c r="C7" s="55" t="s">
        <v>184</v>
      </c>
    </row>
    <row r="8" customFormat="false" ht="15" hidden="false" customHeight="true" outlineLevel="0" collapsed="false">
      <c r="B8" s="10" t="s">
        <v>185</v>
      </c>
      <c r="C8" s="55" t="s">
        <v>186</v>
      </c>
    </row>
    <row r="9" customFormat="false" ht="15" hidden="false" customHeight="true" outlineLevel="0" collapsed="false">
      <c r="B9" s="10" t="s">
        <v>187</v>
      </c>
      <c r="C9" s="6" t="s">
        <v>188</v>
      </c>
    </row>
    <row r="10" customFormat="false" ht="15" hidden="false" customHeight="true" outlineLevel="0" collapsed="false">
      <c r="B10" s="10" t="s">
        <v>189</v>
      </c>
      <c r="C10" s="7" t="s">
        <v>190</v>
      </c>
    </row>
    <row r="11" customFormat="false" ht="15" hidden="false" customHeight="true" outlineLevel="0" collapsed="false">
      <c r="B11" s="10" t="s">
        <v>191</v>
      </c>
      <c r="C11" s="8" t="s">
        <v>192</v>
      </c>
    </row>
    <row r="12" customFormat="false" ht="15" hidden="false" customHeight="true" outlineLevel="0" collapsed="false">
      <c r="B12" s="10" t="s">
        <v>193</v>
      </c>
      <c r="C12" s="6" t="s">
        <v>194</v>
      </c>
    </row>
    <row r="13" customFormat="false" ht="15" hidden="false" customHeight="true" outlineLevel="0" collapsed="false">
      <c r="B13" s="10" t="s">
        <v>195</v>
      </c>
      <c r="C13" s="6" t="s">
        <v>196</v>
      </c>
    </row>
    <row r="14" customFormat="false" ht="15" hidden="false" customHeight="true" outlineLevel="0" collapsed="false">
      <c r="B14" s="10" t="s">
        <v>197</v>
      </c>
      <c r="C14" s="6" t="s">
        <v>198</v>
      </c>
    </row>
    <row r="15" customFormat="false" ht="15" hidden="false" customHeight="true" outlineLevel="0" collapsed="false">
      <c r="B15" s="10" t="s">
        <v>199</v>
      </c>
      <c r="C15" s="8" t="s">
        <v>14</v>
      </c>
    </row>
    <row r="16" customFormat="false" ht="15" hidden="false" customHeight="true" outlineLevel="0" collapsed="false">
      <c r="B16" s="10" t="s">
        <v>200</v>
      </c>
      <c r="C16" s="7" t="s">
        <v>201</v>
      </c>
    </row>
    <row r="17" customFormat="false" ht="15" hidden="false" customHeight="true" outlineLevel="0" collapsed="false">
      <c r="B17" s="10" t="s">
        <v>202</v>
      </c>
      <c r="C17" s="7" t="s">
        <v>203</v>
      </c>
    </row>
    <row r="18" customFormat="false" ht="15" hidden="false" customHeight="true" outlineLevel="0" collapsed="false">
      <c r="B18" s="10" t="s">
        <v>204</v>
      </c>
      <c r="C18" s="8" t="s">
        <v>22</v>
      </c>
    </row>
    <row r="19" customFormat="false" ht="15" hidden="false" customHeight="true" outlineLevel="0" collapsed="false">
      <c r="B19" s="10" t="s">
        <v>205</v>
      </c>
      <c r="C19" s="8" t="s">
        <v>206</v>
      </c>
    </row>
    <row r="20" customFormat="false" ht="15" hidden="false" customHeight="true" outlineLevel="0" collapsed="false">
      <c r="B20" s="10" t="s">
        <v>207</v>
      </c>
      <c r="C20" s="8" t="s">
        <v>208</v>
      </c>
    </row>
    <row r="21" customFormat="false" ht="15" hidden="false" customHeight="true" outlineLevel="0" collapsed="false">
      <c r="B21" s="10" t="s">
        <v>209</v>
      </c>
      <c r="C21" s="8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16"/>
  </cols>
  <sheetData>
    <row r="2" customFormat="false" ht="17.25" hidden="false" customHeight="true" outlineLevel="0" collapsed="false">
      <c r="B2" s="4" t="s">
        <v>211</v>
      </c>
    </row>
    <row r="4" customFormat="false" ht="15" hidden="false" customHeight="true" outlineLevel="0" collapsed="false">
      <c r="B4" s="56" t="s">
        <v>212</v>
      </c>
      <c r="C4" s="56"/>
      <c r="D4" s="56"/>
      <c r="E4" s="56"/>
      <c r="F4" s="56"/>
    </row>
    <row r="5" customFormat="false" ht="34.5" hidden="false" customHeight="true" outlineLevel="0" collapsed="false">
      <c r="B5" s="57" t="s">
        <v>213</v>
      </c>
      <c r="C5" s="57"/>
      <c r="D5" s="57"/>
      <c r="E5" s="57"/>
      <c r="F5" s="57"/>
    </row>
    <row r="7" customFormat="false" ht="49.5" hidden="false" customHeight="true" outlineLevel="0" collapsed="false">
      <c r="B7" s="58" t="s">
        <v>214</v>
      </c>
      <c r="C7" s="59" t="s">
        <v>215</v>
      </c>
      <c r="D7" s="59"/>
      <c r="E7" s="59"/>
      <c r="F7" s="59"/>
    </row>
    <row r="8" customFormat="false" ht="49.5" hidden="false" customHeight="true" outlineLevel="0" collapsed="false">
      <c r="B8" s="60" t="s">
        <v>216</v>
      </c>
      <c r="C8" s="59" t="s">
        <v>217</v>
      </c>
      <c r="D8" s="59"/>
      <c r="E8" s="59"/>
      <c r="F8" s="59"/>
    </row>
    <row r="9" customFormat="false" ht="49.5" hidden="false" customHeight="true" outlineLevel="0" collapsed="false">
      <c r="B9" s="61" t="s">
        <v>218</v>
      </c>
      <c r="C9" s="59" t="s">
        <v>219</v>
      </c>
      <c r="D9" s="59"/>
      <c r="E9" s="59"/>
      <c r="F9" s="59"/>
    </row>
    <row r="12" customFormat="false" ht="15" hidden="false" customHeight="true" outlineLevel="0" collapsed="false">
      <c r="B12" s="11" t="s">
        <v>220</v>
      </c>
    </row>
    <row r="13" customFormat="false" ht="15" hidden="false" customHeight="true" outlineLevel="0" collapsed="false">
      <c r="B13" s="14" t="s">
        <v>221</v>
      </c>
      <c r="C13" s="14" t="s">
        <v>222</v>
      </c>
      <c r="D13" s="14" t="s">
        <v>223</v>
      </c>
    </row>
    <row r="14" customFormat="false" ht="15" hidden="false" customHeight="true" outlineLevel="0" collapsed="false">
      <c r="B14" s="24" t="s">
        <v>224</v>
      </c>
      <c r="C14" s="10" t="s">
        <v>225</v>
      </c>
      <c r="D14" s="10"/>
      <c r="E14" s="10" t="s">
        <v>226</v>
      </c>
      <c r="F14" s="10"/>
    </row>
    <row r="15" customFormat="false" ht="15" hidden="false" customHeight="true" outlineLevel="0" collapsed="false">
      <c r="B15" s="24" t="s">
        <v>227</v>
      </c>
      <c r="C15" s="10" t="s">
        <v>228</v>
      </c>
      <c r="D15" s="10"/>
      <c r="E15" s="10" t="s">
        <v>229</v>
      </c>
      <c r="F15" s="10"/>
    </row>
    <row r="16" customFormat="false" ht="15" hidden="false" customHeight="true" outlineLevel="0" collapsed="false">
      <c r="B16" s="24" t="s">
        <v>230</v>
      </c>
      <c r="C16" s="10" t="s">
        <v>231</v>
      </c>
      <c r="D16" s="10"/>
      <c r="E16" s="10" t="s">
        <v>232</v>
      </c>
      <c r="F16" s="10"/>
    </row>
    <row r="17" customFormat="false" ht="15" hidden="false" customHeight="true" outlineLevel="0" collapsed="false">
      <c r="B17" s="24" t="s">
        <v>233</v>
      </c>
      <c r="C17" s="10" t="s">
        <v>234</v>
      </c>
      <c r="D17" s="10"/>
      <c r="E17" s="10" t="s">
        <v>235</v>
      </c>
      <c r="F17" s="10"/>
    </row>
    <row r="18" customFormat="false" ht="15" hidden="false" customHeight="true" outlineLevel="0" collapsed="false">
      <c r="B18" s="24" t="s">
        <v>236</v>
      </c>
      <c r="C18" s="10" t="s">
        <v>237</v>
      </c>
      <c r="D18" s="10"/>
      <c r="E18" s="10" t="s">
        <v>238</v>
      </c>
      <c r="F18" s="10"/>
    </row>
    <row r="20" customFormat="false" ht="15" hidden="false" customHeight="true" outlineLevel="0" collapsed="false">
      <c r="B20" s="11" t="s">
        <v>239</v>
      </c>
    </row>
    <row r="21" customFormat="false" ht="15" hidden="false" customHeight="true" outlineLevel="0" collapsed="false">
      <c r="B21" s="10" t="s">
        <v>240</v>
      </c>
      <c r="C21" s="24" t="s">
        <v>8</v>
      </c>
    </row>
    <row r="22" customFormat="false" ht="15" hidden="false" customHeight="true" outlineLevel="0" collapsed="false">
      <c r="B22" s="10" t="s">
        <v>241</v>
      </c>
      <c r="C22" s="24" t="s">
        <v>242</v>
      </c>
    </row>
    <row r="23" customFormat="false" ht="15" hidden="false" customHeight="true" outlineLevel="0" collapsed="false">
      <c r="B23" s="10" t="s">
        <v>243</v>
      </c>
      <c r="C23" s="24" t="s">
        <v>244</v>
      </c>
    </row>
    <row r="24" customFormat="false" ht="17.25" hidden="false" customHeight="true" outlineLevel="0" collapsed="false">
      <c r="B24" s="23" t="s">
        <v>245</v>
      </c>
      <c r="C24" s="62" t="s">
        <v>246</v>
      </c>
    </row>
  </sheetData>
  <mergeCells count="15">
    <mergeCell ref="B4:F4"/>
    <mergeCell ref="B5:F5"/>
    <mergeCell ref="C7:F7"/>
    <mergeCell ref="C8:F8"/>
    <mergeCell ref="C9:F9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2026-05-09T23:43:16Z</dcterms:created>
  <dc:creator>openpyxl</dc:creator>
  <dc:description/>
  <dc:language>en-US</dc:language>
  <cp:lastModifiedBy/>
  <dcterms:modified xsi:type="dcterms:W3CDTF">2026-05-09T23:43:58Z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