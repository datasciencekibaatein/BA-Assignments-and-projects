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puts" sheetId="2" state="visible" r:id="rId4"/>
    <sheet name="SKU_Data" sheetId="3" state="visible" r:id="rId5"/>
    <sheet name="EOQ_Calc" sheetId="4" state="visible" r:id="rId6"/>
    <sheet name="SPC_Limits" sheetId="5" state="visible" r:id="rId7"/>
    <sheet name="Control_Plan" sheetId="6" state="visible" r:id="rId8"/>
    <sheet name="OEE_Grid" sheetId="7" state="visible" r:id="rId9"/>
    <sheet name="Summary" sheetId="8" state="visible" r:id="rId10"/>
  </sheets>
  <definedNames>
    <definedName function="false" hidden="false" name="Avg_orders_day" vbProcedure="false">Inputs!$C$10</definedName>
    <definedName function="false" hidden="false" name="H_rate" vbProcedure="false">Inputs!$C$6</definedName>
    <definedName function="false" hidden="false" name="LT_avg" vbProcedure="false">Inputs!$C$9</definedName>
    <definedName function="false" hidden="false" name="S_cost" vbProcedure="false">Inputs!$C$7</definedName>
    <definedName function="false" hidden="false" name="Z_service" vbProcedure="false">Inputs!$C$8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<sst xmlns="http://schemas.openxmlformats.org/spreadsheetml/2006/main" count="241" uniqueCount="187">
  <si>
    <t xml:space="preserve">INVENTORY OPTIMIZER &amp; SPC CONTROL PLAN</t>
  </si>
  <si>
    <t xml:space="preserve">DistributorCo Lean Shield -- DMAIC Track 1 v3</t>
  </si>
  <si>
    <t xml:space="preserve">Headline Findings</t>
  </si>
  <si>
    <t xml:space="preserve">First Class shipping late rate</t>
  </si>
  <si>
    <t xml:space="preserve">95.3%</t>
  </si>
  <si>
    <t xml:space="preserve">Standard Class Cpk</t>
  </si>
  <si>
    <t xml:space="preserve">0.001 (NOT CAPABLE)</t>
  </si>
  <si>
    <t xml:space="preserve">Second Class Cpk</t>
  </si>
  <si>
    <t xml:space="preserve">-0.469 (OUT OF SPEC)</t>
  </si>
  <si>
    <t xml:space="preserve">Top-10 SKU EOQ savings (annual)</t>
  </si>
  <si>
    <t xml:space="preserve">$50,629</t>
  </si>
  <si>
    <t xml:space="preserve">PENDING_PAYMENT bottleneck share</t>
  </si>
  <si>
    <t xml:space="preserve">22.1%</t>
  </si>
  <si>
    <t xml:space="preserve">Margin erosion per late order</t>
  </si>
  <si>
    <t xml:space="preserve">$0.78</t>
  </si>
  <si>
    <t xml:space="preserve">Sheet Map</t>
  </si>
  <si>
    <t xml:space="preserve">Inputs</t>
  </si>
  <si>
    <t xml:space="preserve">Assumptions: H_rate, S_cost, Z, lead times</t>
  </si>
  <si>
    <t xml:space="preserve">SKU_Data</t>
  </si>
  <si>
    <t xml:space="preserve">Top-10 SKU demand statistics (raw data)</t>
  </si>
  <si>
    <t xml:space="preserve">EOQ_Calc</t>
  </si>
  <si>
    <t xml:space="preserve">EOQ, Safety Stock, ROP -- live formulas</t>
  </si>
  <si>
    <t xml:space="preserve">SPC_Limits</t>
  </si>
  <si>
    <t xml:space="preserve">Per-mode control chart limits</t>
  </si>
  <si>
    <t xml:space="preserve">Control_Plan</t>
  </si>
  <si>
    <t xml:space="preserve">DMAIC Control Plan</t>
  </si>
  <si>
    <t xml:space="preserve">OEE_Grid</t>
  </si>
  <si>
    <t xml:space="preserve">OEE matrix: 4 modes x 5 markets</t>
  </si>
  <si>
    <t xml:space="preserve">Summary</t>
  </si>
  <si>
    <t xml:space="preserve">Executive KPIs</t>
  </si>
  <si>
    <t xml:space="preserve">Honest call-outs</t>
  </si>
  <si>
    <t xml:space="preserve">  - DistributorCo is a synthetic anchor - per-order numbers real, firm scale narrated</t>
  </si>
  <si>
    <t xml:space="preserve">  - "Bullwhip Effect" reframed as single-tier demand-signal distortion (dataset is single-tier)</t>
  </si>
  <si>
    <t xml:space="preserve">  - First Class shipping has sigma=0 - Cpk is undefined; treated as deterministic process</t>
  </si>
  <si>
    <t xml:space="preserve">  - Holding cost rate (20%) is industry-standard but firm-specific; adjust in Inputs!B6</t>
  </si>
  <si>
    <t xml:space="preserve">INPUT ASSUMPTIONS</t>
  </si>
  <si>
    <t xml:space="preserve">Adjust these assumptions to recalculate the entire model.</t>
  </si>
  <si>
    <t xml:space="preserve">Parameter</t>
  </si>
  <si>
    <t xml:space="preserve">Value</t>
  </si>
  <si>
    <t xml:space="preserve">Notes</t>
  </si>
  <si>
    <t xml:space="preserve">Holding cost rate</t>
  </si>
  <si>
    <t xml:space="preserve">20% of unit price/yr (industry std)</t>
  </si>
  <si>
    <t xml:space="preserve">Order processing cost ($)</t>
  </si>
  <si>
    <t xml:space="preserve">$50/PO (DistributorCo standard)</t>
  </si>
  <si>
    <t xml:space="preserve">Service-level Z (95%)</t>
  </si>
  <si>
    <t xml:space="preserve">95% one-sided</t>
  </si>
  <si>
    <t xml:space="preserve">Average lead time (days)</t>
  </si>
  <si>
    <t xml:space="preserve">From Days for shipping (real)</t>
  </si>
  <si>
    <t xml:space="preserve">Avg orders per day</t>
  </si>
  <si>
    <t xml:space="preserve">Firm-wide</t>
  </si>
  <si>
    <t xml:space="preserve">TOP-10 SKU DEMAND STATISTICS</t>
  </si>
  <si>
    <t xml:space="preserve">Raw inputs from order history (1,126 days). Edit values in blue to test scenarios.</t>
  </si>
  <si>
    <t xml:space="preserve">SKU ID</t>
  </si>
  <si>
    <t xml:space="preserve">SKU Name</t>
  </si>
  <si>
    <t xml:space="preserve">Unit Price ($)</t>
  </si>
  <si>
    <t xml:space="preserve">Annual Demand</t>
  </si>
  <si>
    <t xml:space="preserve">Daily Std</t>
  </si>
  <si>
    <t xml:space="preserve">Lead Time (days)</t>
  </si>
  <si>
    <t xml:space="preserve">Perfect Fitness Perfect Rip Deck</t>
  </si>
  <si>
    <t xml:space="preserve">Nike Men's Dri-FIT Victory Golf Pol</t>
  </si>
  <si>
    <t xml:space="preserve">O'Brien Men's Neoprene Life Vest</t>
  </si>
  <si>
    <t xml:space="preserve">Nike Men's Free 5.0+ Running Shoe</t>
  </si>
  <si>
    <t xml:space="preserve">Under Armour Girls' Toddler Spine S</t>
  </si>
  <si>
    <t xml:space="preserve">Nike Men's CJ Elite 2 TD Football C</t>
  </si>
  <si>
    <t xml:space="preserve">Field &amp; Stream Sportsman 16 Gun Fir</t>
  </si>
  <si>
    <t xml:space="preserve">Pelican Sunstream 100 Kayak</t>
  </si>
  <si>
    <t xml:space="preserve">Diamondback Women's Serene Classic </t>
  </si>
  <si>
    <t xml:space="preserve">ENO Atlas Hammock Straps</t>
  </si>
  <si>
    <t xml:space="preserve">EOQ + SAFETY STOCK + REORDER POINT (LIVE FORMULAS)</t>
  </si>
  <si>
    <t xml:space="preserve">Formulas pull from Inputs and SKU_Data. Change inputs there to recalculate.</t>
  </si>
  <si>
    <t xml:space="preserve">Unit Price</t>
  </si>
  <si>
    <t xml:space="preserve">Holding Cost ($/unit/yr)</t>
  </si>
  <si>
    <t xml:space="preserve">EOQ (units)</t>
  </si>
  <si>
    <t xml:space="preserve">Safety Stock</t>
  </si>
  <si>
    <t xml:space="preserve">Reorder Point</t>
  </si>
  <si>
    <t xml:space="preserve">Current Cost ($/yr)</t>
  </si>
  <si>
    <t xml:space="preserve">EOQ Cost ($/yr)</t>
  </si>
  <si>
    <t xml:space="preserve">Annual Savings ($)</t>
  </si>
  <si>
    <t xml:space="preserve">TOTAL</t>
  </si>
  <si>
    <t xml:space="preserve">PER-MODE SPC CONTROL LIMITS</t>
  </si>
  <si>
    <t xml:space="preserve">Computed offline from full dataset. Update via spc_monitor.py CLI weekly.</t>
  </si>
  <si>
    <t xml:space="preserve">Mode</t>
  </si>
  <si>
    <t xml:space="preserve">Sample Size</t>
  </si>
  <si>
    <t xml:space="preserve">Mean</t>
  </si>
  <si>
    <t xml:space="preserve">Sigma</t>
  </si>
  <si>
    <t xml:space="preserve">Spec (USL)</t>
  </si>
  <si>
    <t xml:space="preserve">Cp</t>
  </si>
  <si>
    <t xml:space="preserve">Cpk</t>
  </si>
  <si>
    <t xml:space="preserve">X-bar Centerline</t>
  </si>
  <si>
    <t xml:space="preserve">UCL X-bar</t>
  </si>
  <si>
    <t xml:space="preserve">LCL X-bar</t>
  </si>
  <si>
    <t xml:space="preserve">p-bar (Late %)</t>
  </si>
  <si>
    <t xml:space="preserve">UCL p</t>
  </si>
  <si>
    <t xml:space="preserve">LCL p</t>
  </si>
  <si>
    <t xml:space="preserve">Status</t>
  </si>
  <si>
    <t xml:space="preserve">Standard Class</t>
  </si>
  <si>
    <t xml:space="preserve">NOT CAPABLE</t>
  </si>
  <si>
    <t xml:space="preserve">First Class</t>
  </si>
  <si>
    <t xml:space="preserve">UNDEFINED</t>
  </si>
  <si>
    <t xml:space="preserve">DETERMINISTIC</t>
  </si>
  <si>
    <t xml:space="preserve">Second Class</t>
  </si>
  <si>
    <t xml:space="preserve">CRITICAL OOS</t>
  </si>
  <si>
    <t xml:space="preserve">Same Day</t>
  </si>
  <si>
    <t xml:space="preserve">DMAIC CONTROL PLAN</t>
  </si>
  <si>
    <t xml:space="preserve">Lock the gains -- one row per process, monitored daily by spc_monitor.py.</t>
  </si>
  <si>
    <t xml:space="preserve">Process</t>
  </si>
  <si>
    <t xml:space="preserve">CTQ Characteristic</t>
  </si>
  <si>
    <t xml:space="preserve">Spec Limits</t>
  </si>
  <si>
    <t xml:space="preserve">Method</t>
  </si>
  <si>
    <t xml:space="preserve">Sample</t>
  </si>
  <si>
    <t xml:space="preserve">Frequency</t>
  </si>
  <si>
    <t xml:space="preserve">Reaction Plan</t>
  </si>
  <si>
    <t xml:space="preserve">Owner</t>
  </si>
  <si>
    <t xml:space="preserve">Review Cadence</t>
  </si>
  <si>
    <t xml:space="preserve">Order fulfillment - Standard Class</t>
  </si>
  <si>
    <t xml:space="preserve">Days_to_ship</t>
  </si>
  <si>
    <t xml:space="preserve">0-4 days</t>
  </si>
  <si>
    <t xml:space="preserve">X-bar/R + p-chart</t>
  </si>
  <si>
    <t xml:space="preserve">all daily orders</t>
  </si>
  <si>
    <t xml:space="preserve">Daily</t>
  </si>
  <si>
    <t xml:space="preserve">NOT CAPABLE - variance reduction project; target Cpk &gt;= 1.33</t>
  </si>
  <si>
    <t xml:space="preserve">Logistics Mgr</t>
  </si>
  <si>
    <t xml:space="preserve">Weekly</t>
  </si>
  <si>
    <t xml:space="preserve">Order fulfillment - First Class</t>
  </si>
  <si>
    <t xml:space="preserve">0-1 days</t>
  </si>
  <si>
    <t xml:space="preserve">p-chart</t>
  </si>
  <si>
    <t xml:space="preserve">PROCESS DESIGN FAILURE - renegotiate SLA or change carrier</t>
  </si>
  <si>
    <t xml:space="preserve">Order fulfillment - Second Class</t>
  </si>
  <si>
    <t xml:space="preserve">0-2 days</t>
  </si>
  <si>
    <t xml:space="preserve">CRITICAL - mean violates spec; root-cause + redesign</t>
  </si>
  <si>
    <t xml:space="preserve">Order fulfillment - Same Day</t>
  </si>
  <si>
    <t xml:space="preserve">0-0 days</t>
  </si>
  <si>
    <t xml:space="preserve">Inventory replenishment - Top 10 SKU</t>
  </si>
  <si>
    <t xml:space="preserve">EOQ adherence</t>
  </si>
  <si>
    <t xml:space="preserve">EOQ +/- 10%</t>
  </si>
  <si>
    <t xml:space="preserve">Cycle counts</t>
  </si>
  <si>
    <t xml:space="preserve">all SKUs</t>
  </si>
  <si>
    <t xml:space="preserve">N/A</t>
  </si>
  <si>
    <t xml:space="preserve">Reorder when ROP triggered; flag any deviation</t>
  </si>
  <si>
    <t xml:space="preserve">Inventory Mgr</t>
  </si>
  <si>
    <t xml:space="preserve">Pre-shipment queue</t>
  </si>
  <si>
    <t xml:space="preserve">PENDING_PAYMENT %</t>
  </si>
  <si>
    <t xml:space="preserve">&lt; 10%</t>
  </si>
  <si>
    <t xml:space="preserve">Daily count</t>
  </si>
  <si>
    <t xml:space="preserve">all orders</t>
  </si>
  <si>
    <t xml:space="preserve">If &gt; 15% trip alert -&gt; payment gateway investigation</t>
  </si>
  <si>
    <t xml:space="preserve">Ops Director</t>
  </si>
  <si>
    <t xml:space="preserve">OEE DRILL-THROUGH: SHIPPING MODE x MARKET</t>
  </si>
  <si>
    <t xml:space="preserve">OEE = Availability x Performance x Quality. Color: green good, red bad.</t>
  </si>
  <si>
    <t xml:space="preserve">Africa</t>
  </si>
  <si>
    <t xml:space="preserve">Europe</t>
  </si>
  <si>
    <t xml:space="preserve">LATAM</t>
  </si>
  <si>
    <t xml:space="preserve">Pacific Asia</t>
  </si>
  <si>
    <t xml:space="preserve">USCA</t>
  </si>
  <si>
    <t xml:space="preserve">EXECUTIVE SUMMARY -- KPIs</t>
  </si>
  <si>
    <t xml:space="preserve">DMAIC Phase</t>
  </si>
  <si>
    <t xml:space="preserve">KPI</t>
  </si>
  <si>
    <t xml:space="preserve">Target</t>
  </si>
  <si>
    <t xml:space="preserve">Define</t>
  </si>
  <si>
    <t xml:space="preserve">Firm-wide late-delivery rate</t>
  </si>
  <si>
    <t xml:space="preserve">0.05</t>
  </si>
  <si>
    <t xml:space="preserve">CRITICAL</t>
  </si>
  <si>
    <t xml:space="preserve">0.0</t>
  </si>
  <si>
    <t xml:space="preserve">AMBER</t>
  </si>
  <si>
    <t xml:space="preserve">Measure</t>
  </si>
  <si>
    <t xml:space="preserve">1.33</t>
  </si>
  <si>
    <t xml:space="preserve">First Class p (late)</t>
  </si>
  <si>
    <t xml:space="preserve">OUT OF SPEC</t>
  </si>
  <si>
    <t xml:space="preserve">Analyze</t>
  </si>
  <si>
    <t xml:space="preserve">PENDING_PAYMENT bottleneck</t>
  </si>
  <si>
    <t xml:space="preserve">0.1</t>
  </si>
  <si>
    <t xml:space="preserve">BPMN states with &gt; 5% volume</t>
  </si>
  <si>
    <t xml:space="preserve">&lt;= 4</t>
  </si>
  <si>
    <t xml:space="preserve">INFORMATIONAL</t>
  </si>
  <si>
    <t xml:space="preserve">Improve</t>
  </si>
  <si>
    <t xml:space="preserve">Top-10 SKU EOQ savings ($)</t>
  </si>
  <si>
    <t xml:space="preserve">GREEN</t>
  </si>
  <si>
    <t xml:space="preserve">Avg Safety Stock per SKU</t>
  </si>
  <si>
    <t xml:space="preserve">Control</t>
  </si>
  <si>
    <t xml:space="preserve">Modes with active Control Plan</t>
  </si>
  <si>
    <t xml:space="preserve">4</t>
  </si>
  <si>
    <t xml:space="preserve">Pyramid Recommendation</t>
  </si>
  <si>
    <t xml:space="preserve">TOP: Adopt 4-mode Control Plan; redesign First Class SLA from 1d to 2d immediately</t>
  </si>
  <si>
    <t xml:space="preserve">SUPPORT 1 (Define/Measure): All 4 modes statistically out-of-control; SPC monitoring is essential</t>
  </si>
  <si>
    <t xml:space="preserve">SUPPORT 2 (Analyze): PENDING_PAYMENT queue absorbs 22% of orders -- payment gateway is root cause</t>
  </si>
  <si>
    <t xml:space="preserve">SUPPORT 3 (Improve): Top-10 SKU EOQ rollout: ~$50K/yr savings; Safety Stock at 95% service level</t>
  </si>
  <si>
    <t xml:space="preserve">SUPPORT 4 (Control): spc_monitor.py CLI runs daily; Western Electric rules trip alerts; weekly review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</si>
</sst>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%"/>
    <numFmt numFmtId="166" formatCode="\$#,##0.00"/>
    <numFmt numFmtId="167" formatCode="0.000"/>
    <numFmt numFmtId="168" formatCode="0.00"/>
    <numFmt numFmtId="169" formatCode="#,##0"/>
    <numFmt numFmtId="170" formatCode="#,##0.00"/>
    <numFmt numFmtId="171" formatCode="General"/>
    <numFmt numFmtId="172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F3864"/>
      <name val="Arial"/>
      <family val="0"/>
      <charset val="1"/>
    </font>
    <font>
      <i val="true"/>
      <sz val="12"/>
      <color rgb="FF66666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FFC7CE"/>
        <bgColor rgb="FFD9E2F3"/>
      </patternFill>
    </fill>
    <fill>
      <patternFill patternType="solid">
        <fgColor rgb="FFFFEB9C"/>
        <bgColor rgb="FFFFFFCC"/>
      </patternFill>
    </fill>
    <fill>
      <patternFill patternType="solid">
        <fgColor rgb="FFC6EFCE"/>
        <bgColor rgb="FFD9E2F3"/>
      </patternFill>
    </fill>
    <fill>
      <patternFill patternType="solid">
        <fgColor rgb="FFD9E2F3"/>
        <bgColor rgb="FFC6EFCE"/>
      </patternFill>
    </fill>
    <fill>
      <patternFill patternType="solid">
        <fgColor rgb="FF1F3864"/>
        <bgColor rgb="FF333333"/>
      </patternFill>
    </fill>
    <fill>
      <patternFill patternType="solid">
        <fgColor rgb="FFFFC000"/>
        <bgColor rgb="FFFF9900"/>
      </patternFill>
    </fill>
    <fill>
      <patternFill patternType="solid">
        <fgColor rgb="FFC00000"/>
        <bgColor rgb="FF800000"/>
      </patternFill>
    </fill>
    <fill>
      <patternFill patternType="solid">
        <fgColor rgb="FFE07A1F"/>
        <bgColor rgb="FFFF9900"/>
      </patternFill>
    </fill>
    <fill>
      <patternFill patternType="solid">
        <fgColor rgb="FF666666"/>
        <bgColor rgb="FF808080"/>
      </patternFill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000"/>
      <rgbColor rgb="FFFF9900"/>
      <rgbColor rgb="FFE07A1F"/>
      <rgbColor rgb="FF666666"/>
      <rgbColor rgb="FF969696"/>
      <rgbColor rgb="FF1F3864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50"/>
    <col collapsed="false" customWidth="true" hidden="false" outlineLevel="0" max="3" min="3" style="0" width="30"/>
  </cols>
  <sheetData>
    <row r="2" customFormat="false" ht="24.4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7.35" hidden="false" customHeight="false" outlineLevel="0" collapsed="false">
      <c r="B5" s="3" t="s">
        <v>2</v>
      </c>
    </row>
    <row r="7" customFormat="false" ht="15" hidden="false" customHeight="false" outlineLevel="0" collapsed="false">
      <c r="B7" s="4" t="s">
        <v>3</v>
      </c>
      <c r="C7" s="5" t="s">
        <v>4</v>
      </c>
    </row>
    <row r="8" customFormat="false" ht="15" hidden="false" customHeight="false" outlineLevel="0" collapsed="false">
      <c r="B8" s="4" t="s">
        <v>5</v>
      </c>
      <c r="C8" s="6" t="s">
        <v>6</v>
      </c>
    </row>
    <row r="9" customFormat="false" ht="15" hidden="false" customHeight="false" outlineLevel="0" collapsed="false">
      <c r="B9" s="4" t="s">
        <v>7</v>
      </c>
      <c r="C9" s="5" t="s">
        <v>8</v>
      </c>
    </row>
    <row r="10" customFormat="false" ht="15" hidden="false" customHeight="false" outlineLevel="0" collapsed="false">
      <c r="B10" s="4" t="s">
        <v>9</v>
      </c>
      <c r="C10" s="7" t="s">
        <v>10</v>
      </c>
    </row>
    <row r="11" customFormat="false" ht="15" hidden="false" customHeight="false" outlineLevel="0" collapsed="false">
      <c r="B11" s="4" t="s">
        <v>11</v>
      </c>
      <c r="C11" s="6" t="s">
        <v>12</v>
      </c>
    </row>
    <row r="12" customFormat="false" ht="15" hidden="false" customHeight="false" outlineLevel="0" collapsed="false">
      <c r="B12" s="4" t="s">
        <v>13</v>
      </c>
      <c r="C12" s="6" t="s">
        <v>14</v>
      </c>
    </row>
    <row r="15" customFormat="false" ht="17.35" hidden="false" customHeight="false" outlineLevel="0" collapsed="false">
      <c r="B15" s="3" t="s">
        <v>15</v>
      </c>
    </row>
    <row r="17" customFormat="false" ht="15" hidden="false" customHeight="false" outlineLevel="0" collapsed="false">
      <c r="B17" s="8" t="s">
        <v>16</v>
      </c>
      <c r="C17" s="9" t="s">
        <v>17</v>
      </c>
    </row>
    <row r="18" customFormat="false" ht="15" hidden="false" customHeight="false" outlineLevel="0" collapsed="false">
      <c r="B18" s="8" t="s">
        <v>18</v>
      </c>
      <c r="C18" s="9" t="s">
        <v>19</v>
      </c>
    </row>
    <row r="19" customFormat="false" ht="15" hidden="false" customHeight="false" outlineLevel="0" collapsed="false">
      <c r="B19" s="8" t="s">
        <v>20</v>
      </c>
      <c r="C19" s="9" t="s">
        <v>21</v>
      </c>
    </row>
    <row r="20" customFormat="false" ht="15" hidden="false" customHeight="false" outlineLevel="0" collapsed="false">
      <c r="B20" s="8" t="s">
        <v>22</v>
      </c>
      <c r="C20" s="9" t="s">
        <v>23</v>
      </c>
    </row>
    <row r="21" customFormat="false" ht="15" hidden="false" customHeight="false" outlineLevel="0" collapsed="false">
      <c r="B21" s="8" t="s">
        <v>24</v>
      </c>
      <c r="C21" s="9" t="s">
        <v>25</v>
      </c>
    </row>
    <row r="22" customFormat="false" ht="15" hidden="false" customHeight="false" outlineLevel="0" collapsed="false">
      <c r="B22" s="8" t="s">
        <v>26</v>
      </c>
      <c r="C22" s="9" t="s">
        <v>27</v>
      </c>
    </row>
    <row r="23" customFormat="false" ht="15" hidden="false" customHeight="false" outlineLevel="0" collapsed="false">
      <c r="B23" s="8" t="s">
        <v>28</v>
      </c>
      <c r="C23" s="9" t="s">
        <v>29</v>
      </c>
    </row>
    <row r="27" customFormat="false" ht="15" hidden="false" customHeight="false" outlineLevel="0" collapsed="false">
      <c r="B27" s="10" t="s">
        <v>30</v>
      </c>
    </row>
    <row r="28" customFormat="false" ht="15" hidden="false" customHeight="false" outlineLevel="0" collapsed="false">
      <c r="B28" s="11" t="s">
        <v>31</v>
      </c>
    </row>
    <row r="29" customFormat="false" ht="15" hidden="false" customHeight="false" outlineLevel="0" collapsed="false">
      <c r="B29" s="11" t="s">
        <v>32</v>
      </c>
    </row>
    <row r="30" customFormat="false" ht="15" hidden="false" customHeight="false" outlineLevel="0" collapsed="false">
      <c r="B30" s="11" t="s">
        <v>33</v>
      </c>
    </row>
    <row r="31" customFormat="false" ht="15" hidden="false" customHeight="false" outlineLevel="0" collapsed="false">
      <c r="B31" s="11" t="s">
        <v>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30"/>
  </cols>
  <sheetData>
    <row r="2" customFormat="false" ht="17.35" hidden="false" customHeight="false" outlineLevel="0" collapsed="false">
      <c r="B2" s="3" t="s">
        <v>35</v>
      </c>
    </row>
    <row r="3" customFormat="false" ht="15" hidden="false" customHeight="false" outlineLevel="0" collapsed="false">
      <c r="B3" s="12" t="s">
        <v>36</v>
      </c>
    </row>
    <row r="5" customFormat="false" ht="15" hidden="false" customHeight="false" outlineLevel="0" collapsed="false">
      <c r="B5" s="13" t="s">
        <v>37</v>
      </c>
      <c r="C5" s="13" t="s">
        <v>38</v>
      </c>
      <c r="D5" s="13" t="s">
        <v>39</v>
      </c>
    </row>
    <row r="6" customFormat="false" ht="15" hidden="false" customHeight="false" outlineLevel="0" collapsed="false">
      <c r="B6" s="9" t="s">
        <v>40</v>
      </c>
      <c r="C6" s="14" t="n">
        <v>0.2</v>
      </c>
      <c r="D6" s="9" t="s">
        <v>41</v>
      </c>
    </row>
    <row r="7" customFormat="false" ht="15" hidden="false" customHeight="false" outlineLevel="0" collapsed="false">
      <c r="B7" s="9" t="s">
        <v>42</v>
      </c>
      <c r="C7" s="15" t="n">
        <v>50</v>
      </c>
      <c r="D7" s="9" t="s">
        <v>43</v>
      </c>
    </row>
    <row r="8" customFormat="false" ht="15" hidden="false" customHeight="false" outlineLevel="0" collapsed="false">
      <c r="B8" s="9" t="s">
        <v>44</v>
      </c>
      <c r="C8" s="16" t="n">
        <v>1.645</v>
      </c>
      <c r="D8" s="9" t="s">
        <v>45</v>
      </c>
    </row>
    <row r="9" customFormat="false" ht="15" hidden="false" customHeight="false" outlineLevel="0" collapsed="false">
      <c r="B9" s="9" t="s">
        <v>46</v>
      </c>
      <c r="C9" s="17" t="n">
        <v>3.5</v>
      </c>
      <c r="D9" s="9" t="s">
        <v>47</v>
      </c>
    </row>
    <row r="10" customFormat="false" ht="15" hidden="false" customHeight="false" outlineLevel="0" collapsed="false">
      <c r="B10" s="9" t="s">
        <v>48</v>
      </c>
      <c r="C10" s="18" t="n">
        <v>160</v>
      </c>
      <c r="D10" s="9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6"/>
  </cols>
  <sheetData>
    <row r="2" customFormat="false" ht="17.35" hidden="false" customHeight="false" outlineLevel="0" collapsed="false">
      <c r="B2" s="3" t="s">
        <v>50</v>
      </c>
    </row>
    <row r="3" customFormat="false" ht="15" hidden="false" customHeight="false" outlineLevel="0" collapsed="false">
      <c r="B3" s="12" t="s">
        <v>51</v>
      </c>
    </row>
    <row r="5" customFormat="false" ht="15" hidden="false" customHeight="false" outlineLevel="0" collapsed="false">
      <c r="B5" s="13" t="s">
        <v>52</v>
      </c>
      <c r="C5" s="13" t="s">
        <v>53</v>
      </c>
      <c r="D5" s="13" t="s">
        <v>54</v>
      </c>
      <c r="E5" s="13" t="s">
        <v>55</v>
      </c>
      <c r="F5" s="13" t="s">
        <v>56</v>
      </c>
      <c r="G5" s="13" t="s">
        <v>57</v>
      </c>
    </row>
    <row r="6" customFormat="false" ht="15" hidden="false" customHeight="false" outlineLevel="0" collapsed="false">
      <c r="B6" s="19" t="n">
        <v>365</v>
      </c>
      <c r="C6" s="9" t="s">
        <v>58</v>
      </c>
      <c r="D6" s="15" t="n">
        <v>59.99</v>
      </c>
      <c r="E6" s="18" t="n">
        <v>23889</v>
      </c>
      <c r="F6" s="20" t="n">
        <v>27.64</v>
      </c>
      <c r="G6" s="17" t="n">
        <v>3.51</v>
      </c>
    </row>
    <row r="7" customFormat="false" ht="15" hidden="false" customHeight="false" outlineLevel="0" collapsed="false">
      <c r="B7" s="19" t="n">
        <v>502</v>
      </c>
      <c r="C7" s="9" t="s">
        <v>59</v>
      </c>
      <c r="D7" s="15" t="n">
        <v>50</v>
      </c>
      <c r="E7" s="18" t="n">
        <v>20407</v>
      </c>
      <c r="F7" s="20" t="n">
        <v>24.57</v>
      </c>
      <c r="G7" s="17" t="n">
        <v>3.48</v>
      </c>
    </row>
    <row r="8" customFormat="false" ht="15" hidden="false" customHeight="false" outlineLevel="0" collapsed="false">
      <c r="B8" s="19" t="n">
        <v>1014</v>
      </c>
      <c r="C8" s="9" t="s">
        <v>60</v>
      </c>
      <c r="D8" s="15" t="n">
        <v>49.98</v>
      </c>
      <c r="E8" s="18" t="n">
        <v>18737</v>
      </c>
      <c r="F8" s="20" t="n">
        <v>22.64</v>
      </c>
      <c r="G8" s="17" t="n">
        <v>3.5</v>
      </c>
    </row>
    <row r="9" customFormat="false" ht="15" hidden="false" customHeight="false" outlineLevel="0" collapsed="false">
      <c r="B9" s="19" t="n">
        <v>191</v>
      </c>
      <c r="C9" s="9" t="s">
        <v>61</v>
      </c>
      <c r="D9" s="15" t="n">
        <v>99.99</v>
      </c>
      <c r="E9" s="18" t="n">
        <v>11890</v>
      </c>
      <c r="F9" s="20" t="n">
        <v>16.06</v>
      </c>
      <c r="G9" s="17" t="n">
        <v>3.49</v>
      </c>
    </row>
    <row r="10" customFormat="false" ht="15" hidden="false" customHeight="false" outlineLevel="0" collapsed="false">
      <c r="B10" s="19" t="n">
        <v>627</v>
      </c>
      <c r="C10" s="9" t="s">
        <v>62</v>
      </c>
      <c r="D10" s="15" t="n">
        <v>39.99</v>
      </c>
      <c r="E10" s="18" t="n">
        <v>10287</v>
      </c>
      <c r="F10" s="20" t="n">
        <v>14.04</v>
      </c>
      <c r="G10" s="17" t="n">
        <v>3.49</v>
      </c>
    </row>
    <row r="11" customFormat="false" ht="15" hidden="false" customHeight="false" outlineLevel="0" collapsed="false">
      <c r="B11" s="19" t="n">
        <v>403</v>
      </c>
      <c r="C11" s="9" t="s">
        <v>63</v>
      </c>
      <c r="D11" s="15" t="n">
        <v>129.99</v>
      </c>
      <c r="E11" s="18" t="n">
        <v>7211</v>
      </c>
      <c r="F11" s="20" t="n">
        <v>8.25</v>
      </c>
      <c r="G11" s="17" t="n">
        <v>3.5</v>
      </c>
    </row>
    <row r="12" customFormat="false" ht="15" hidden="false" customHeight="false" outlineLevel="0" collapsed="false">
      <c r="B12" s="19" t="n">
        <v>1004</v>
      </c>
      <c r="C12" s="9" t="s">
        <v>64</v>
      </c>
      <c r="D12" s="15" t="n">
        <v>399.98</v>
      </c>
      <c r="E12" s="18" t="n">
        <v>5616</v>
      </c>
      <c r="F12" s="20" t="n">
        <v>6.68</v>
      </c>
      <c r="G12" s="17" t="n">
        <v>3.5</v>
      </c>
    </row>
    <row r="13" customFormat="false" ht="15" hidden="false" customHeight="false" outlineLevel="0" collapsed="false">
      <c r="B13" s="19" t="n">
        <v>1073</v>
      </c>
      <c r="C13" s="9" t="s">
        <v>65</v>
      </c>
      <c r="D13" s="15" t="n">
        <v>199.99</v>
      </c>
      <c r="E13" s="18" t="n">
        <v>5024</v>
      </c>
      <c r="F13" s="20" t="n">
        <v>6.13</v>
      </c>
      <c r="G13" s="17" t="n">
        <v>3.48</v>
      </c>
    </row>
    <row r="14" customFormat="false" ht="15" hidden="false" customHeight="false" outlineLevel="0" collapsed="false">
      <c r="B14" s="19" t="n">
        <v>957</v>
      </c>
      <c r="C14" s="9" t="s">
        <v>66</v>
      </c>
      <c r="D14" s="15" t="n">
        <v>299.98</v>
      </c>
      <c r="E14" s="18" t="n">
        <v>4450</v>
      </c>
      <c r="F14" s="20" t="n">
        <v>5.51</v>
      </c>
      <c r="G14" s="17" t="n">
        <v>3.5</v>
      </c>
    </row>
    <row r="15" customFormat="false" ht="15" hidden="false" customHeight="false" outlineLevel="0" collapsed="false">
      <c r="B15" s="19" t="n">
        <v>977</v>
      </c>
      <c r="C15" s="9" t="s">
        <v>67</v>
      </c>
      <c r="D15" s="15" t="n">
        <v>29.99</v>
      </c>
      <c r="E15" s="18" t="n">
        <v>323</v>
      </c>
      <c r="F15" s="20" t="n">
        <v>1.91</v>
      </c>
      <c r="G15" s="17" t="n">
        <v>3.46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32"/>
    <col collapsed="false" customWidth="true" hidden="false" outlineLevel="0" max="12" min="4" style="0" width="16"/>
  </cols>
  <sheetData>
    <row r="2" customFormat="false" ht="17.35" hidden="false" customHeight="false" outlineLevel="0" collapsed="false">
      <c r="B2" s="3" t="s">
        <v>68</v>
      </c>
    </row>
    <row r="3" customFormat="false" ht="15" hidden="false" customHeight="false" outlineLevel="0" collapsed="false">
      <c r="B3" s="12" t="s">
        <v>69</v>
      </c>
    </row>
    <row r="5" customFormat="false" ht="15" hidden="false" customHeight="false" outlineLevel="0" collapsed="false">
      <c r="B5" s="13" t="s">
        <v>52</v>
      </c>
      <c r="C5" s="13" t="s">
        <v>53</v>
      </c>
      <c r="D5" s="13" t="s">
        <v>70</v>
      </c>
      <c r="E5" s="13" t="s">
        <v>55</v>
      </c>
      <c r="F5" s="13" t="s">
        <v>71</v>
      </c>
      <c r="G5" s="13" t="s">
        <v>72</v>
      </c>
      <c r="H5" s="13" t="s">
        <v>73</v>
      </c>
      <c r="I5" s="13" t="s">
        <v>74</v>
      </c>
      <c r="J5" s="13" t="s">
        <v>75</v>
      </c>
      <c r="K5" s="13" t="s">
        <v>76</v>
      </c>
      <c r="L5" s="13" t="s">
        <v>77</v>
      </c>
    </row>
    <row r="6" customFormat="false" ht="15" hidden="false" customHeight="false" outlineLevel="0" collapsed="false">
      <c r="B6" s="21" t="n">
        <f aca="false">SKU_Data!B6</f>
        <v>365</v>
      </c>
      <c r="C6" s="21" t="str">
        <f aca="false">SKU_Data!C6</f>
        <v>Perfect Fitness Perfect Rip Deck</v>
      </c>
      <c r="D6" s="22" t="n">
        <f aca="false">SKU_Data!D6</f>
        <v>59.99</v>
      </c>
      <c r="E6" s="23" t="n">
        <f aca="false">SKU_Data!E6</f>
        <v>23889</v>
      </c>
      <c r="F6" s="24" t="n">
        <f aca="false">H_rate*D6</f>
        <v>11.998</v>
      </c>
      <c r="G6" s="25" t="n">
        <f aca="false">ROUND(SQRT(2*E6*S_cost/F6),0)</f>
        <v>446</v>
      </c>
      <c r="H6" s="25" t="n">
        <f aca="false">ROUND(Z_service*SKU_Data!F6*SQRT(SKU_Data!G6),0)</f>
        <v>85</v>
      </c>
      <c r="I6" s="25" t="n">
        <f aca="false">ROUND(E6/365*SKU_Data!G6+H6,0)</f>
        <v>315</v>
      </c>
      <c r="J6" s="26" t="n">
        <f aca="false">ROUND(E6/(E6/12)*S_cost+(E6/12)/2*F6,0)</f>
        <v>12543</v>
      </c>
      <c r="K6" s="26" t="n">
        <f aca="false">ROUND(E6/G6*S_cost+G6/2*F6,0)</f>
        <v>5354</v>
      </c>
      <c r="L6" s="26" t="n">
        <f aca="false">J6-K6</f>
        <v>7189</v>
      </c>
    </row>
    <row r="7" customFormat="false" ht="15" hidden="false" customHeight="false" outlineLevel="0" collapsed="false">
      <c r="B7" s="21" t="n">
        <f aca="false">SKU_Data!B7</f>
        <v>502</v>
      </c>
      <c r="C7" s="21" t="str">
        <f aca="false">SKU_Data!C7</f>
        <v>Nike Men's Dri-FIT Victory Golf Pol</v>
      </c>
      <c r="D7" s="22" t="n">
        <f aca="false">SKU_Data!D7</f>
        <v>50</v>
      </c>
      <c r="E7" s="23" t="n">
        <f aca="false">SKU_Data!E7</f>
        <v>20407</v>
      </c>
      <c r="F7" s="24" t="n">
        <f aca="false">H_rate*D7</f>
        <v>10</v>
      </c>
      <c r="G7" s="25" t="n">
        <f aca="false">ROUND(SQRT(2*E7*S_cost/F7),0)</f>
        <v>452</v>
      </c>
      <c r="H7" s="25" t="n">
        <f aca="false">ROUND(Z_service*SKU_Data!F7*SQRT(SKU_Data!G7),0)</f>
        <v>75</v>
      </c>
      <c r="I7" s="25" t="n">
        <f aca="false">ROUND(E7/365*SKU_Data!G7+H7,0)</f>
        <v>270</v>
      </c>
      <c r="J7" s="26" t="n">
        <f aca="false">ROUND(E7/(E7/12)*S_cost+(E7/12)/2*F7,0)</f>
        <v>9103</v>
      </c>
      <c r="K7" s="26" t="n">
        <f aca="false">ROUND(E7/G7*S_cost+G7/2*F7,0)</f>
        <v>4517</v>
      </c>
      <c r="L7" s="26" t="n">
        <f aca="false">J7-K7</f>
        <v>4586</v>
      </c>
    </row>
    <row r="8" customFormat="false" ht="15" hidden="false" customHeight="false" outlineLevel="0" collapsed="false">
      <c r="B8" s="21" t="n">
        <f aca="false">SKU_Data!B8</f>
        <v>1014</v>
      </c>
      <c r="C8" s="21" t="str">
        <f aca="false">SKU_Data!C8</f>
        <v>O'Brien Men's Neoprene Life Vest</v>
      </c>
      <c r="D8" s="22" t="n">
        <f aca="false">SKU_Data!D8</f>
        <v>49.98</v>
      </c>
      <c r="E8" s="23" t="n">
        <f aca="false">SKU_Data!E8</f>
        <v>18737</v>
      </c>
      <c r="F8" s="24" t="n">
        <f aca="false">H_rate*D8</f>
        <v>9.996</v>
      </c>
      <c r="G8" s="25" t="n">
        <f aca="false">ROUND(SQRT(2*E8*S_cost/F8),0)</f>
        <v>433</v>
      </c>
      <c r="H8" s="25" t="n">
        <f aca="false">ROUND(Z_service*SKU_Data!F8*SQRT(SKU_Data!G8),0)</f>
        <v>70</v>
      </c>
      <c r="I8" s="25" t="n">
        <f aca="false">ROUND(E8/365*SKU_Data!G8+H8,0)</f>
        <v>250</v>
      </c>
      <c r="J8" s="26" t="n">
        <f aca="false">ROUND(E8/(E8/12)*S_cost+(E8/12)/2*F8,0)</f>
        <v>8404</v>
      </c>
      <c r="K8" s="26" t="n">
        <f aca="false">ROUND(E8/G8*S_cost+G8/2*F8,0)</f>
        <v>4328</v>
      </c>
      <c r="L8" s="26" t="n">
        <f aca="false">J8-K8</f>
        <v>4076</v>
      </c>
    </row>
    <row r="9" customFormat="false" ht="15" hidden="false" customHeight="false" outlineLevel="0" collapsed="false">
      <c r="B9" s="21" t="n">
        <f aca="false">SKU_Data!B9</f>
        <v>191</v>
      </c>
      <c r="C9" s="21" t="str">
        <f aca="false">SKU_Data!C9</f>
        <v>Nike Men's Free 5.0+ Running Shoe</v>
      </c>
      <c r="D9" s="22" t="n">
        <f aca="false">SKU_Data!D9</f>
        <v>99.99</v>
      </c>
      <c r="E9" s="23" t="n">
        <f aca="false">SKU_Data!E9</f>
        <v>11890</v>
      </c>
      <c r="F9" s="24" t="n">
        <f aca="false">H_rate*D9</f>
        <v>19.998</v>
      </c>
      <c r="G9" s="25" t="n">
        <f aca="false">ROUND(SQRT(2*E9*S_cost/F9),0)</f>
        <v>244</v>
      </c>
      <c r="H9" s="25" t="n">
        <f aca="false">ROUND(Z_service*SKU_Data!F9*SQRT(SKU_Data!G9),0)</f>
        <v>49</v>
      </c>
      <c r="I9" s="25" t="n">
        <f aca="false">ROUND(E9/365*SKU_Data!G9+H9,0)</f>
        <v>163</v>
      </c>
      <c r="J9" s="26" t="n">
        <f aca="false">ROUND(E9/(E9/12)*S_cost+(E9/12)/2*F9,0)</f>
        <v>10507</v>
      </c>
      <c r="K9" s="26" t="n">
        <f aca="false">ROUND(E9/G9*S_cost+G9/2*F9,0)</f>
        <v>4876</v>
      </c>
      <c r="L9" s="26" t="n">
        <f aca="false">J9-K9</f>
        <v>5631</v>
      </c>
    </row>
    <row r="10" customFormat="false" ht="15" hidden="false" customHeight="false" outlineLevel="0" collapsed="false">
      <c r="B10" s="21" t="n">
        <f aca="false">SKU_Data!B10</f>
        <v>627</v>
      </c>
      <c r="C10" s="21" t="str">
        <f aca="false">SKU_Data!C10</f>
        <v>Under Armour Girls' Toddler Spine S</v>
      </c>
      <c r="D10" s="22" t="n">
        <f aca="false">SKU_Data!D10</f>
        <v>39.99</v>
      </c>
      <c r="E10" s="23" t="n">
        <f aca="false">SKU_Data!E10</f>
        <v>10287</v>
      </c>
      <c r="F10" s="24" t="n">
        <f aca="false">H_rate*D10</f>
        <v>7.998</v>
      </c>
      <c r="G10" s="25" t="n">
        <f aca="false">ROUND(SQRT(2*E10*S_cost/F10),0)</f>
        <v>359</v>
      </c>
      <c r="H10" s="25" t="n">
        <f aca="false">ROUND(Z_service*SKU_Data!F10*SQRT(SKU_Data!G10),0)</f>
        <v>43</v>
      </c>
      <c r="I10" s="25" t="n">
        <f aca="false">ROUND(E10/365*SKU_Data!G10+H10,0)</f>
        <v>141</v>
      </c>
      <c r="J10" s="26" t="n">
        <f aca="false">ROUND(E10/(E10/12)*S_cost+(E10/12)/2*F10,0)</f>
        <v>4028</v>
      </c>
      <c r="K10" s="26" t="n">
        <f aca="false">ROUND(E10/G10*S_cost+G10/2*F10,0)</f>
        <v>2868</v>
      </c>
      <c r="L10" s="26" t="n">
        <f aca="false">J10-K10</f>
        <v>1160</v>
      </c>
    </row>
    <row r="11" customFormat="false" ht="15" hidden="false" customHeight="false" outlineLevel="0" collapsed="false">
      <c r="B11" s="21" t="n">
        <f aca="false">SKU_Data!B11</f>
        <v>403</v>
      </c>
      <c r="C11" s="21" t="str">
        <f aca="false">SKU_Data!C11</f>
        <v>Nike Men's CJ Elite 2 TD Football C</v>
      </c>
      <c r="D11" s="22" t="n">
        <f aca="false">SKU_Data!D11</f>
        <v>129.99</v>
      </c>
      <c r="E11" s="23" t="n">
        <f aca="false">SKU_Data!E11</f>
        <v>7211</v>
      </c>
      <c r="F11" s="24" t="n">
        <f aca="false">H_rate*D11</f>
        <v>25.998</v>
      </c>
      <c r="G11" s="25" t="n">
        <f aca="false">ROUND(SQRT(2*E11*S_cost/F11),0)</f>
        <v>167</v>
      </c>
      <c r="H11" s="25" t="n">
        <f aca="false">ROUND(Z_service*SKU_Data!F11*SQRT(SKU_Data!G11),0)</f>
        <v>25</v>
      </c>
      <c r="I11" s="25" t="n">
        <f aca="false">ROUND(E11/365*SKU_Data!G11+H11,0)</f>
        <v>94</v>
      </c>
      <c r="J11" s="26" t="n">
        <f aca="false">ROUND(E11/(E11/12)*S_cost+(E11/12)/2*F11,0)</f>
        <v>8411</v>
      </c>
      <c r="K11" s="26" t="n">
        <f aca="false">ROUND(E11/G11*S_cost+G11/2*F11,0)</f>
        <v>4330</v>
      </c>
      <c r="L11" s="26" t="n">
        <f aca="false">J11-K11</f>
        <v>4081</v>
      </c>
    </row>
    <row r="12" customFormat="false" ht="15" hidden="false" customHeight="false" outlineLevel="0" collapsed="false">
      <c r="B12" s="21" t="n">
        <f aca="false">SKU_Data!B12</f>
        <v>1004</v>
      </c>
      <c r="C12" s="21" t="str">
        <f aca="false">SKU_Data!C12</f>
        <v>Field &amp; Stream Sportsman 16 Gun Fir</v>
      </c>
      <c r="D12" s="22" t="n">
        <f aca="false">SKU_Data!D12</f>
        <v>399.98</v>
      </c>
      <c r="E12" s="23" t="n">
        <f aca="false">SKU_Data!E12</f>
        <v>5616</v>
      </c>
      <c r="F12" s="24" t="n">
        <f aca="false">H_rate*D12</f>
        <v>79.996</v>
      </c>
      <c r="G12" s="25" t="n">
        <f aca="false">ROUND(SQRT(2*E12*S_cost/F12),0)</f>
        <v>84</v>
      </c>
      <c r="H12" s="25" t="n">
        <f aca="false">ROUND(Z_service*SKU_Data!F12*SQRT(SKU_Data!G12),0)</f>
        <v>21</v>
      </c>
      <c r="I12" s="25" t="n">
        <f aca="false">ROUND(E12/365*SKU_Data!G12+H12,0)</f>
        <v>75</v>
      </c>
      <c r="J12" s="26" t="n">
        <f aca="false">ROUND(E12/(E12/12)*S_cost+(E12/12)/2*F12,0)</f>
        <v>19319</v>
      </c>
      <c r="K12" s="26" t="n">
        <f aca="false">ROUND(E12/G12*S_cost+G12/2*F12,0)</f>
        <v>6703</v>
      </c>
      <c r="L12" s="26" t="n">
        <f aca="false">J12-K12</f>
        <v>12616</v>
      </c>
    </row>
    <row r="13" customFormat="false" ht="15" hidden="false" customHeight="false" outlineLevel="0" collapsed="false">
      <c r="B13" s="21" t="n">
        <f aca="false">SKU_Data!B13</f>
        <v>1073</v>
      </c>
      <c r="C13" s="21" t="str">
        <f aca="false">SKU_Data!C13</f>
        <v>Pelican Sunstream 100 Kayak</v>
      </c>
      <c r="D13" s="22" t="n">
        <f aca="false">SKU_Data!D13</f>
        <v>199.99</v>
      </c>
      <c r="E13" s="23" t="n">
        <f aca="false">SKU_Data!E13</f>
        <v>5024</v>
      </c>
      <c r="F13" s="24" t="n">
        <f aca="false">H_rate*D13</f>
        <v>39.998</v>
      </c>
      <c r="G13" s="25" t="n">
        <f aca="false">ROUND(SQRT(2*E13*S_cost/F13),0)</f>
        <v>112</v>
      </c>
      <c r="H13" s="25" t="n">
        <f aca="false">ROUND(Z_service*SKU_Data!F13*SQRT(SKU_Data!G13),0)</f>
        <v>19</v>
      </c>
      <c r="I13" s="25" t="n">
        <f aca="false">ROUND(E13/365*SKU_Data!G13+H13,0)</f>
        <v>67</v>
      </c>
      <c r="J13" s="26" t="n">
        <f aca="false">ROUND(E13/(E13/12)*S_cost+(E13/12)/2*F13,0)</f>
        <v>8973</v>
      </c>
      <c r="K13" s="26" t="n">
        <f aca="false">ROUND(E13/G13*S_cost+G13/2*F13,0)</f>
        <v>4483</v>
      </c>
      <c r="L13" s="26" t="n">
        <f aca="false">J13-K13</f>
        <v>4490</v>
      </c>
    </row>
    <row r="14" customFormat="false" ht="15" hidden="false" customHeight="false" outlineLevel="0" collapsed="false">
      <c r="B14" s="21" t="n">
        <f aca="false">SKU_Data!B14</f>
        <v>957</v>
      </c>
      <c r="C14" s="21" t="str">
        <f aca="false">SKU_Data!C14</f>
        <v>Diamondback Women's Serene Classic </v>
      </c>
      <c r="D14" s="22" t="n">
        <f aca="false">SKU_Data!D14</f>
        <v>299.98</v>
      </c>
      <c r="E14" s="23" t="n">
        <f aca="false">SKU_Data!E14</f>
        <v>4450</v>
      </c>
      <c r="F14" s="24" t="n">
        <f aca="false">H_rate*D14</f>
        <v>59.996</v>
      </c>
      <c r="G14" s="25" t="n">
        <f aca="false">ROUND(SQRT(2*E14*S_cost/F14),0)</f>
        <v>86</v>
      </c>
      <c r="H14" s="25" t="n">
        <f aca="false">ROUND(Z_service*SKU_Data!F14*SQRT(SKU_Data!G14),0)</f>
        <v>17</v>
      </c>
      <c r="I14" s="25" t="n">
        <f aca="false">ROUND(E14/365*SKU_Data!G14+H14,0)</f>
        <v>60</v>
      </c>
      <c r="J14" s="26" t="n">
        <f aca="false">ROUND(E14/(E14/12)*S_cost+(E14/12)/2*F14,0)</f>
        <v>11724</v>
      </c>
      <c r="K14" s="26" t="n">
        <f aca="false">ROUND(E14/G14*S_cost+G14/2*F14,0)</f>
        <v>5167</v>
      </c>
      <c r="L14" s="26" t="n">
        <f aca="false">J14-K14</f>
        <v>6557</v>
      </c>
    </row>
    <row r="15" customFormat="false" ht="15" hidden="false" customHeight="false" outlineLevel="0" collapsed="false">
      <c r="B15" s="21" t="n">
        <f aca="false">SKU_Data!B15</f>
        <v>977</v>
      </c>
      <c r="C15" s="21" t="str">
        <f aca="false">SKU_Data!C15</f>
        <v>ENO Atlas Hammock Straps</v>
      </c>
      <c r="D15" s="22" t="n">
        <f aca="false">SKU_Data!D15</f>
        <v>29.99</v>
      </c>
      <c r="E15" s="23" t="n">
        <f aca="false">SKU_Data!E15</f>
        <v>323</v>
      </c>
      <c r="F15" s="24" t="n">
        <f aca="false">H_rate*D15</f>
        <v>5.998</v>
      </c>
      <c r="G15" s="25" t="n">
        <f aca="false">ROUND(SQRT(2*E15*S_cost/F15),0)</f>
        <v>73</v>
      </c>
      <c r="H15" s="25" t="n">
        <f aca="false">ROUND(Z_service*SKU_Data!F15*SQRT(SKU_Data!G15),0)</f>
        <v>6</v>
      </c>
      <c r="I15" s="25" t="n">
        <f aca="false">ROUND(E15/365*SKU_Data!G15+H15,0)</f>
        <v>9</v>
      </c>
      <c r="J15" s="26" t="n">
        <f aca="false">ROUND(E15/(E15/12)*S_cost+(E15/12)/2*F15,0)</f>
        <v>681</v>
      </c>
      <c r="K15" s="26" t="n">
        <f aca="false">ROUND(E15/G15*S_cost+G15/2*F15,0)</f>
        <v>440</v>
      </c>
      <c r="L15" s="26" t="n">
        <f aca="false">J15-K15</f>
        <v>241</v>
      </c>
    </row>
    <row r="17" customFormat="false" ht="15" hidden="false" customHeight="false" outlineLevel="0" collapsed="false">
      <c r="B17" s="27" t="s">
        <v>78</v>
      </c>
      <c r="L17" s="28" t="n">
        <f aca="false">SUM(L6:L15)</f>
        <v>50627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8"/>
    <col collapsed="false" customWidth="true" hidden="false" outlineLevel="0" max="14" min="3" style="0" width="14"/>
    <col collapsed="false" customWidth="true" hidden="false" outlineLevel="0" max="15" min="15" style="0" width="16"/>
  </cols>
  <sheetData>
    <row r="2" customFormat="false" ht="17.35" hidden="false" customHeight="false" outlineLevel="0" collapsed="false">
      <c r="B2" s="3" t="s">
        <v>79</v>
      </c>
    </row>
    <row r="3" customFormat="false" ht="15" hidden="false" customHeight="false" outlineLevel="0" collapsed="false">
      <c r="B3" s="12" t="s">
        <v>80</v>
      </c>
    </row>
    <row r="5" customFormat="false" ht="15" hidden="false" customHeight="false" outlineLevel="0" collapsed="false">
      <c r="B5" s="13" t="s">
        <v>81</v>
      </c>
      <c r="C5" s="13" t="s">
        <v>82</v>
      </c>
      <c r="D5" s="13" t="s">
        <v>83</v>
      </c>
      <c r="E5" s="13" t="s">
        <v>84</v>
      </c>
      <c r="F5" s="13" t="s">
        <v>85</v>
      </c>
      <c r="G5" s="13" t="s">
        <v>86</v>
      </c>
      <c r="H5" s="13" t="s">
        <v>87</v>
      </c>
      <c r="I5" s="13" t="s">
        <v>88</v>
      </c>
      <c r="J5" s="13" t="s">
        <v>89</v>
      </c>
      <c r="K5" s="13" t="s">
        <v>90</v>
      </c>
      <c r="L5" s="13" t="s">
        <v>91</v>
      </c>
      <c r="M5" s="13" t="s">
        <v>92</v>
      </c>
      <c r="N5" s="13" t="s">
        <v>93</v>
      </c>
      <c r="O5" s="13" t="s">
        <v>94</v>
      </c>
    </row>
    <row r="6" customFormat="false" ht="15" hidden="false" customHeight="false" outlineLevel="0" collapsed="false">
      <c r="B6" s="19" t="s">
        <v>95</v>
      </c>
      <c r="C6" s="18" t="n">
        <v>107752</v>
      </c>
      <c r="D6" s="16" t="n">
        <v>4</v>
      </c>
      <c r="E6" s="16" t="n">
        <v>1.417</v>
      </c>
      <c r="F6" s="16" t="n">
        <v>4</v>
      </c>
      <c r="G6" s="16" t="n">
        <v>0.47</v>
      </c>
      <c r="H6" s="16" t="n">
        <v>0.001</v>
      </c>
      <c r="I6" s="16" t="n">
        <v>4</v>
      </c>
      <c r="J6" s="16" t="n">
        <v>5.897</v>
      </c>
      <c r="K6" s="16" t="n">
        <v>2.094</v>
      </c>
      <c r="L6" s="14" t="n">
        <v>0.381</v>
      </c>
      <c r="M6" s="14" t="n">
        <v>0.526</v>
      </c>
      <c r="N6" s="14" t="n">
        <v>0.236</v>
      </c>
      <c r="O6" s="19" t="s">
        <v>96</v>
      </c>
    </row>
    <row r="7" customFormat="false" ht="15" hidden="false" customHeight="false" outlineLevel="0" collapsed="false">
      <c r="B7" s="19" t="s">
        <v>97</v>
      </c>
      <c r="C7" s="18" t="n">
        <v>27814</v>
      </c>
      <c r="D7" s="16" t="n">
        <v>2</v>
      </c>
      <c r="E7" s="16" t="n">
        <v>0</v>
      </c>
      <c r="F7" s="16" t="n">
        <v>1</v>
      </c>
      <c r="G7" s="16" t="s">
        <v>98</v>
      </c>
      <c r="H7" s="16" t="s">
        <v>98</v>
      </c>
      <c r="I7" s="16" t="n">
        <v>2</v>
      </c>
      <c r="J7" s="16" t="n">
        <v>2</v>
      </c>
      <c r="K7" s="16" t="n">
        <v>2</v>
      </c>
      <c r="L7" s="14" t="n">
        <v>1</v>
      </c>
      <c r="M7" s="14" t="n">
        <v>1</v>
      </c>
      <c r="N7" s="14" t="n">
        <v>1</v>
      </c>
      <c r="O7" s="19" t="s">
        <v>99</v>
      </c>
    </row>
    <row r="8" customFormat="false" ht="15" hidden="false" customHeight="false" outlineLevel="0" collapsed="false">
      <c r="B8" s="19" t="s">
        <v>100</v>
      </c>
      <c r="C8" s="18" t="n">
        <v>35216</v>
      </c>
      <c r="D8" s="16" t="n">
        <v>4</v>
      </c>
      <c r="E8" s="16" t="n">
        <v>1.42</v>
      </c>
      <c r="F8" s="16" t="n">
        <v>2</v>
      </c>
      <c r="G8" s="16" t="n">
        <v>-0.235</v>
      </c>
      <c r="H8" s="16" t="n">
        <v>-0.469</v>
      </c>
      <c r="I8" s="16" t="n">
        <v>4</v>
      </c>
      <c r="J8" s="16" t="n">
        <v>5.89</v>
      </c>
      <c r="K8" s="16" t="n">
        <v>2.091</v>
      </c>
      <c r="L8" s="14" t="n">
        <v>0.767</v>
      </c>
      <c r="M8" s="14" t="n">
        <v>0.893</v>
      </c>
      <c r="N8" s="14" t="n">
        <v>0.64</v>
      </c>
      <c r="O8" s="19" t="s">
        <v>101</v>
      </c>
    </row>
    <row r="9" customFormat="false" ht="15" hidden="false" customHeight="false" outlineLevel="0" collapsed="false">
      <c r="B9" s="19" t="s">
        <v>102</v>
      </c>
      <c r="C9" s="18" t="n">
        <v>9737</v>
      </c>
      <c r="D9" s="16" t="n">
        <v>0.478</v>
      </c>
      <c r="E9" s="16" t="n">
        <v>0.5</v>
      </c>
      <c r="F9" s="16" t="n">
        <v>0</v>
      </c>
      <c r="G9" s="16" t="n">
        <v>-0.319</v>
      </c>
      <c r="H9" s="16" t="n">
        <v>-0.319</v>
      </c>
      <c r="I9" s="16" t="n">
        <v>0.478</v>
      </c>
      <c r="J9" s="16" t="n">
        <v>1.149</v>
      </c>
      <c r="K9" s="16" t="n">
        <v>0</v>
      </c>
      <c r="L9" s="14" t="n">
        <v>0.464</v>
      </c>
      <c r="M9" s="14" t="n">
        <v>0.612</v>
      </c>
      <c r="N9" s="14" t="n">
        <v>0.316</v>
      </c>
      <c r="O9" s="19" t="s">
        <v>101</v>
      </c>
    </row>
  </sheetData>
  <conditionalFormatting sqref="H6:H9">
    <cfRule type="cellIs" priority="2" operator="lessThan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0</formula>
      <formula>1</formula>
    </cfRule>
    <cfRule type="cellIs" priority="4" operator="greaterThanOrEqual" aboveAverage="0" equalAverage="0" bottom="0" percent="0" rank="0" text="" dxfId="2">
      <formula>1.33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50"/>
    <col collapsed="false" customWidth="true" hidden="false" outlineLevel="0" max="11" min="10" style="0" width="14"/>
  </cols>
  <sheetData>
    <row r="2" customFormat="false" ht="17.35" hidden="false" customHeight="false" outlineLevel="0" collapsed="false">
      <c r="B2" s="3" t="s">
        <v>103</v>
      </c>
    </row>
    <row r="3" customFormat="false" ht="15" hidden="false" customHeight="false" outlineLevel="0" collapsed="false">
      <c r="B3" s="12" t="s">
        <v>104</v>
      </c>
    </row>
    <row r="5" customFormat="false" ht="15" hidden="false" customHeight="false" outlineLevel="0" collapsed="false">
      <c r="B5" s="13" t="s">
        <v>105</v>
      </c>
      <c r="C5" s="13" t="s">
        <v>106</v>
      </c>
      <c r="D5" s="13" t="s">
        <v>107</v>
      </c>
      <c r="E5" s="13" t="s">
        <v>108</v>
      </c>
      <c r="F5" s="13" t="s">
        <v>109</v>
      </c>
      <c r="G5" s="13" t="s">
        <v>110</v>
      </c>
      <c r="H5" s="13" t="s">
        <v>87</v>
      </c>
      <c r="I5" s="13" t="s">
        <v>111</v>
      </c>
      <c r="J5" s="13" t="s">
        <v>112</v>
      </c>
      <c r="K5" s="13" t="s">
        <v>113</v>
      </c>
    </row>
    <row r="6" customFormat="false" ht="15" hidden="false" customHeight="false" outlineLevel="0" collapsed="false">
      <c r="B6" s="9" t="s">
        <v>114</v>
      </c>
      <c r="C6" s="9" t="s">
        <v>115</v>
      </c>
      <c r="D6" s="9" t="s">
        <v>116</v>
      </c>
      <c r="E6" s="9" t="s">
        <v>117</v>
      </c>
      <c r="F6" s="9" t="s">
        <v>118</v>
      </c>
      <c r="G6" s="9" t="s">
        <v>119</v>
      </c>
      <c r="H6" s="29" t="n">
        <v>0.001</v>
      </c>
      <c r="I6" s="9" t="s">
        <v>120</v>
      </c>
      <c r="J6" s="9" t="s">
        <v>121</v>
      </c>
      <c r="K6" s="9" t="s">
        <v>122</v>
      </c>
    </row>
    <row r="7" customFormat="false" ht="15" hidden="false" customHeight="false" outlineLevel="0" collapsed="false">
      <c r="B7" s="9" t="s">
        <v>123</v>
      </c>
      <c r="C7" s="9" t="s">
        <v>115</v>
      </c>
      <c r="D7" s="9" t="s">
        <v>124</v>
      </c>
      <c r="E7" s="9" t="s">
        <v>125</v>
      </c>
      <c r="F7" s="9" t="s">
        <v>118</v>
      </c>
      <c r="G7" s="9" t="s">
        <v>119</v>
      </c>
      <c r="H7" s="9" t="s">
        <v>98</v>
      </c>
      <c r="I7" s="9" t="s">
        <v>126</v>
      </c>
      <c r="J7" s="9" t="s">
        <v>121</v>
      </c>
      <c r="K7" s="9" t="s">
        <v>122</v>
      </c>
    </row>
    <row r="8" customFormat="false" ht="15" hidden="false" customHeight="false" outlineLevel="0" collapsed="false">
      <c r="B8" s="9" t="s">
        <v>127</v>
      </c>
      <c r="C8" s="9" t="s">
        <v>115</v>
      </c>
      <c r="D8" s="9" t="s">
        <v>128</v>
      </c>
      <c r="E8" s="9" t="s">
        <v>117</v>
      </c>
      <c r="F8" s="9" t="s">
        <v>118</v>
      </c>
      <c r="G8" s="9" t="s">
        <v>119</v>
      </c>
      <c r="H8" s="29" t="n">
        <v>-0.469</v>
      </c>
      <c r="I8" s="9" t="s">
        <v>129</v>
      </c>
      <c r="J8" s="9" t="s">
        <v>121</v>
      </c>
      <c r="K8" s="9" t="s">
        <v>122</v>
      </c>
    </row>
    <row r="9" customFormat="false" ht="15" hidden="false" customHeight="false" outlineLevel="0" collapsed="false">
      <c r="B9" s="9" t="s">
        <v>130</v>
      </c>
      <c r="C9" s="9" t="s">
        <v>115</v>
      </c>
      <c r="D9" s="9" t="s">
        <v>131</v>
      </c>
      <c r="E9" s="9" t="s">
        <v>125</v>
      </c>
      <c r="F9" s="9" t="s">
        <v>118</v>
      </c>
      <c r="G9" s="9" t="s">
        <v>119</v>
      </c>
      <c r="H9" s="29" t="n">
        <v>-0.319</v>
      </c>
      <c r="I9" s="9" t="s">
        <v>129</v>
      </c>
      <c r="J9" s="9" t="s">
        <v>121</v>
      </c>
      <c r="K9" s="9" t="s">
        <v>122</v>
      </c>
    </row>
    <row r="10" customFormat="false" ht="15" hidden="false" customHeight="false" outlineLevel="0" collapsed="false">
      <c r="B10" s="9" t="s">
        <v>132</v>
      </c>
      <c r="C10" s="9" t="s">
        <v>133</v>
      </c>
      <c r="D10" s="9" t="s">
        <v>134</v>
      </c>
      <c r="E10" s="9" t="s">
        <v>135</v>
      </c>
      <c r="F10" s="9" t="s">
        <v>136</v>
      </c>
      <c r="G10" s="9" t="s">
        <v>122</v>
      </c>
      <c r="H10" s="9" t="s">
        <v>137</v>
      </c>
      <c r="I10" s="9" t="s">
        <v>138</v>
      </c>
      <c r="J10" s="9" t="s">
        <v>139</v>
      </c>
      <c r="K10" s="9" t="s">
        <v>122</v>
      </c>
    </row>
    <row r="11" customFormat="false" ht="15" hidden="false" customHeight="false" outlineLevel="0" collapsed="false">
      <c r="B11" s="9" t="s">
        <v>140</v>
      </c>
      <c r="C11" s="9" t="s">
        <v>141</v>
      </c>
      <c r="D11" s="9" t="s">
        <v>142</v>
      </c>
      <c r="E11" s="9" t="s">
        <v>143</v>
      </c>
      <c r="F11" s="9" t="s">
        <v>144</v>
      </c>
      <c r="G11" s="9" t="s">
        <v>119</v>
      </c>
      <c r="H11" s="9" t="s">
        <v>137</v>
      </c>
      <c r="I11" s="9" t="s">
        <v>145</v>
      </c>
      <c r="J11" s="9" t="s">
        <v>146</v>
      </c>
      <c r="K11" s="9" t="s">
        <v>119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2" style="0" width="16"/>
  </cols>
  <sheetData>
    <row r="2" customFormat="false" ht="17.35" hidden="false" customHeight="false" outlineLevel="0" collapsed="false">
      <c r="B2" s="3" t="s">
        <v>147</v>
      </c>
    </row>
    <row r="3" customFormat="false" ht="15" hidden="false" customHeight="false" outlineLevel="0" collapsed="false">
      <c r="B3" s="12" t="s">
        <v>148</v>
      </c>
    </row>
    <row r="5" customFormat="false" ht="15" hidden="false" customHeight="false" outlineLevel="0" collapsed="false">
      <c r="B5" s="13" t="s">
        <v>81</v>
      </c>
      <c r="C5" s="13" t="s">
        <v>149</v>
      </c>
      <c r="D5" s="13" t="s">
        <v>150</v>
      </c>
      <c r="E5" s="13" t="s">
        <v>151</v>
      </c>
      <c r="F5" s="13" t="s">
        <v>152</v>
      </c>
      <c r="G5" s="13" t="s">
        <v>153</v>
      </c>
    </row>
    <row r="6" customFormat="false" ht="15" hidden="false" customHeight="false" outlineLevel="0" collapsed="false">
      <c r="B6" s="30" t="s">
        <v>97</v>
      </c>
      <c r="C6" s="31" t="n">
        <v>0.01485450770135</v>
      </c>
      <c r="D6" s="31" t="n">
        <v>0.0205098723800192</v>
      </c>
      <c r="E6" s="31" t="n">
        <v>0.0256351220077584</v>
      </c>
      <c r="F6" s="31" t="n">
        <v>0.0240253780854307</v>
      </c>
      <c r="G6" s="31" t="n">
        <v>0.0236460711311907</v>
      </c>
    </row>
    <row r="7" customFormat="false" ht="15" hidden="false" customHeight="false" outlineLevel="0" collapsed="false">
      <c r="B7" s="30" t="s">
        <v>102</v>
      </c>
      <c r="C7" s="31" t="n">
        <v>0</v>
      </c>
      <c r="D7" s="31" t="n">
        <v>0</v>
      </c>
      <c r="E7" s="31" t="n">
        <v>0</v>
      </c>
      <c r="F7" s="31" t="n">
        <v>0</v>
      </c>
      <c r="G7" s="31" t="n">
        <v>0</v>
      </c>
    </row>
    <row r="8" customFormat="false" ht="15" hidden="false" customHeight="false" outlineLevel="0" collapsed="false">
      <c r="B8" s="30" t="s">
        <v>100</v>
      </c>
      <c r="C8" s="31" t="n">
        <v>0.129218296648254</v>
      </c>
      <c r="D8" s="31" t="n">
        <v>0.130745951928098</v>
      </c>
      <c r="E8" s="31" t="n">
        <v>0.140043696369257</v>
      </c>
      <c r="F8" s="31" t="n">
        <v>0.12930356791602</v>
      </c>
      <c r="G8" s="31" t="n">
        <v>0.133826719524634</v>
      </c>
    </row>
    <row r="9" customFormat="false" ht="15" hidden="false" customHeight="false" outlineLevel="0" collapsed="false">
      <c r="B9" s="30" t="s">
        <v>95</v>
      </c>
      <c r="C9" s="31" t="n">
        <v>0.541381334999714</v>
      </c>
      <c r="D9" s="31" t="n">
        <v>0.542849886545892</v>
      </c>
      <c r="E9" s="31" t="n">
        <v>0.543822807634634</v>
      </c>
      <c r="F9" s="31" t="n">
        <v>0.538825303954057</v>
      </c>
      <c r="G9" s="31" t="n">
        <v>0.542840338583704</v>
      </c>
    </row>
  </sheetData>
  <conditionalFormatting sqref="C6:G9">
    <cfRule type="colorScale" priority="2">
      <colorScale>
        <cfvo type="num" val="0"/>
        <cfvo type="num" val="0.27"/>
        <cfvo type="num" val="0.55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6"/>
    <col collapsed="false" customWidth="true" hidden="false" outlineLevel="0" max="3" min="3" style="0" width="40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6"/>
  </cols>
  <sheetData>
    <row r="2" customFormat="false" ht="17.35" hidden="false" customHeight="false" outlineLevel="0" collapsed="false">
      <c r="B2" s="3" t="s">
        <v>154</v>
      </c>
    </row>
    <row r="4" customFormat="false" ht="15" hidden="false" customHeight="false" outlineLevel="0" collapsed="false">
      <c r="B4" s="32" t="s">
        <v>155</v>
      </c>
      <c r="C4" s="32" t="s">
        <v>156</v>
      </c>
      <c r="D4" s="32" t="s">
        <v>38</v>
      </c>
      <c r="E4" s="32" t="s">
        <v>157</v>
      </c>
      <c r="F4" s="32" t="s">
        <v>94</v>
      </c>
    </row>
    <row r="5" customFormat="false" ht="15" hidden="false" customHeight="false" outlineLevel="0" collapsed="false">
      <c r="B5" s="30" t="s">
        <v>158</v>
      </c>
      <c r="C5" s="9" t="s">
        <v>159</v>
      </c>
      <c r="D5" s="33" t="n">
        <v>0.548</v>
      </c>
      <c r="E5" s="9" t="s">
        <v>160</v>
      </c>
      <c r="F5" s="34" t="s">
        <v>161</v>
      </c>
    </row>
    <row r="6" customFormat="false" ht="15" hidden="false" customHeight="false" outlineLevel="0" collapsed="false">
      <c r="B6" s="30" t="s">
        <v>158</v>
      </c>
      <c r="C6" s="9" t="s">
        <v>13</v>
      </c>
      <c r="D6" s="35" t="n">
        <v>0.78</v>
      </c>
      <c r="E6" s="9" t="s">
        <v>162</v>
      </c>
      <c r="F6" s="36" t="s">
        <v>163</v>
      </c>
    </row>
    <row r="7" customFormat="false" ht="15" hidden="false" customHeight="false" outlineLevel="0" collapsed="false">
      <c r="B7" s="30" t="s">
        <v>164</v>
      </c>
      <c r="C7" s="9" t="s">
        <v>5</v>
      </c>
      <c r="D7" s="35" t="n">
        <v>0.001</v>
      </c>
      <c r="E7" s="9" t="s">
        <v>165</v>
      </c>
      <c r="F7" s="34" t="s">
        <v>96</v>
      </c>
    </row>
    <row r="8" customFormat="false" ht="15" hidden="false" customHeight="false" outlineLevel="0" collapsed="false">
      <c r="B8" s="30" t="s">
        <v>164</v>
      </c>
      <c r="C8" s="9" t="s">
        <v>166</v>
      </c>
      <c r="D8" s="33" t="n">
        <v>0.953</v>
      </c>
      <c r="E8" s="9" t="s">
        <v>160</v>
      </c>
      <c r="F8" s="34" t="s">
        <v>161</v>
      </c>
    </row>
    <row r="9" customFormat="false" ht="15" hidden="false" customHeight="false" outlineLevel="0" collapsed="false">
      <c r="B9" s="30" t="s">
        <v>164</v>
      </c>
      <c r="C9" s="9" t="s">
        <v>7</v>
      </c>
      <c r="D9" s="35" t="n">
        <v>-0.469</v>
      </c>
      <c r="E9" s="9" t="s">
        <v>165</v>
      </c>
      <c r="F9" s="34" t="s">
        <v>167</v>
      </c>
    </row>
    <row r="10" customFormat="false" ht="15" hidden="false" customHeight="false" outlineLevel="0" collapsed="false">
      <c r="B10" s="30" t="s">
        <v>168</v>
      </c>
      <c r="C10" s="9" t="s">
        <v>169</v>
      </c>
      <c r="D10" s="33" t="n">
        <v>0.221</v>
      </c>
      <c r="E10" s="9" t="s">
        <v>170</v>
      </c>
      <c r="F10" s="36" t="s">
        <v>163</v>
      </c>
    </row>
    <row r="11" customFormat="false" ht="15" hidden="false" customHeight="false" outlineLevel="0" collapsed="false">
      <c r="B11" s="30" t="s">
        <v>168</v>
      </c>
      <c r="C11" s="9" t="s">
        <v>171</v>
      </c>
      <c r="D11" s="30" t="n">
        <v>6</v>
      </c>
      <c r="E11" s="9" t="s">
        <v>172</v>
      </c>
      <c r="F11" s="37" t="s">
        <v>173</v>
      </c>
    </row>
    <row r="12" customFormat="false" ht="15" hidden="false" customHeight="false" outlineLevel="0" collapsed="false">
      <c r="B12" s="30" t="s">
        <v>174</v>
      </c>
      <c r="C12" s="9" t="s">
        <v>175</v>
      </c>
      <c r="D12" s="30" t="n">
        <v>50629</v>
      </c>
      <c r="E12" s="9" t="s">
        <v>137</v>
      </c>
      <c r="F12" s="38" t="s">
        <v>176</v>
      </c>
    </row>
    <row r="13" customFormat="false" ht="15" hidden="false" customHeight="false" outlineLevel="0" collapsed="false">
      <c r="B13" s="30" t="s">
        <v>174</v>
      </c>
      <c r="C13" s="9" t="s">
        <v>177</v>
      </c>
      <c r="D13" s="30" t="n">
        <v>40</v>
      </c>
      <c r="E13" s="9" t="s">
        <v>137</v>
      </c>
      <c r="F13" s="37" t="s">
        <v>173</v>
      </c>
    </row>
    <row r="14" customFormat="false" ht="15" hidden="false" customHeight="false" outlineLevel="0" collapsed="false">
      <c r="B14" s="30" t="s">
        <v>178</v>
      </c>
      <c r="C14" s="9" t="s">
        <v>179</v>
      </c>
      <c r="D14" s="30" t="n">
        <v>4</v>
      </c>
      <c r="E14" s="9" t="s">
        <v>180</v>
      </c>
      <c r="F14" s="38" t="s">
        <v>176</v>
      </c>
    </row>
    <row r="18" customFormat="false" ht="17.35" hidden="false" customHeight="false" outlineLevel="0" collapsed="false">
      <c r="B18" s="3" t="s">
        <v>181</v>
      </c>
    </row>
    <row r="19" customFormat="false" ht="15" hidden="false" customHeight="false" outlineLevel="0" collapsed="false">
      <c r="B19" s="9" t="s">
        <v>182</v>
      </c>
      <c r="C19" s="9"/>
      <c r="D19" s="9"/>
      <c r="E19" s="9"/>
      <c r="F19" s="9"/>
    </row>
    <row r="20" customFormat="false" ht="15" hidden="false" customHeight="false" outlineLevel="0" collapsed="false">
      <c r="B20" s="9" t="s">
        <v>183</v>
      </c>
      <c r="C20" s="9"/>
      <c r="D20" s="9"/>
      <c r="E20" s="9"/>
      <c r="F20" s="9"/>
    </row>
    <row r="21" customFormat="false" ht="15" hidden="false" customHeight="false" outlineLevel="0" collapsed="false">
      <c r="B21" s="9" t="s">
        <v>184</v>
      </c>
      <c r="C21" s="9"/>
      <c r="D21" s="9"/>
      <c r="E21" s="9"/>
      <c r="F21" s="9"/>
    </row>
    <row r="22" customFormat="false" ht="15" hidden="false" customHeight="false" outlineLevel="0" collapsed="false">
      <c r="B22" s="9" t="s">
        <v>185</v>
      </c>
      <c r="C22" s="9"/>
      <c r="D22" s="9"/>
      <c r="E22" s="9"/>
      <c r="F22" s="9"/>
    </row>
    <row r="23" customFormat="false" ht="15" hidden="false" customHeight="false" outlineLevel="0" collapsed="false">
      <c r="B23" s="9" t="s">
        <v>186</v>
      </c>
      <c r="C23" s="9"/>
      <c r="D23" s="9"/>
      <c r="E23" s="9"/>
      <c r="F23" s="9"/>
    </row>
  </sheetData>
  <mergeCells count="5">
    <mergeCell ref="B19:F19"/>
    <mergeCell ref="B20:F20"/>
    <mergeCell ref="B21:F21"/>
    <mergeCell ref="B22:F22"/>
    <mergeCell ref="B23:F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2026-05-08T20:55:08Z</dcterms:created>
  <dc:creator>openpyxl</dc:creator>
  <dc:description/>
  <dc:language>en-US</dc:language>
  <cp:lastModifiedBy/>
  <dcterms:modified xsi:type="dcterms:W3CDTF">2026-05-08T20:55:08Z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