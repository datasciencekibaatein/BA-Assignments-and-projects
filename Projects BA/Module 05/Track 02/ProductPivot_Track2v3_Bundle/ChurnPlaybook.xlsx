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Funnel_Data" sheetId="3" state="visible" r:id="rId5"/>
    <sheet name="MECE_Branches" sheetId="4" state="visible" r:id="rId6"/>
    <sheet name="STP_Segments" sheetId="5" state="visible" r:id="rId7"/>
    <sheet name="Decision_Tree" sheetId="6" state="visible" r:id="rId8"/>
    <sheet name="Sensitivity" sheetId="7" state="visible" r:id="rId9"/>
    <sheet name="Recommendation" sheetId="8" state="visible" r:id="rId10"/>
  </sheets>
  <definedNames>
    <definedName function="false" hidden="false" name="Acquisition_pool" vbProcedure="false">Inputs!$C$13</definedName>
    <definedName function="false" hidden="false" name="Conv_Penetration" vbProcedure="false">Inputs!$C$10</definedName>
    <definedName function="false" hidden="false" name="Conv_Skimming" vbProcedure="false">Inputs!$C$8</definedName>
    <definedName function="false" hidden="false" name="Cost_Penetration" vbProcedure="false">Inputs!$C$11</definedName>
    <definedName function="false" hidden="false" name="Cost_Skimming" vbProcedure="false">Inputs!$C$9</definedName>
    <definedName function="false" hidden="false" name="LTV_MTM" vbProcedure="false">Inputs!$C$6</definedName>
    <definedName function="false" hidden="false" name="LTV_TwoYear" vbProcedure="false">Inputs!$C$7</definedName>
    <definedName function="false" hidden="false" name="MTM_population" vbProcedure="false">Inputs!$C$12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<sst xmlns="http://schemas.openxmlformats.org/spreadsheetml/2006/main" count="204" uniqueCount="192">
  <si>
    <t xml:space="preserve">CHURN PLAYBOOK &amp; DECISION TREE</t>
  </si>
  <si>
    <t xml:space="preserve">PivotCo Product Pivot — DAX-Powered SaaS Lifecycle Optimization</t>
  </si>
  <si>
    <t xml:space="preserve">Headline Findings</t>
  </si>
  <si>
    <t xml:space="preserve">Firm-wide churn rate</t>
  </si>
  <si>
    <t xml:space="preserve">26.5%</t>
  </si>
  <si>
    <t xml:space="preserve">Month-to-month subscriber churn</t>
  </si>
  <si>
    <t xml:space="preserve">42.7% (LTV $155)</t>
  </si>
  <si>
    <t xml:space="preserve">Two-year subscriber churn</t>
  </si>
  <si>
    <t xml:space="preserve">2.8% (LTV $2,145)</t>
  </si>
  <si>
    <t xml:space="preserve">First 6mo absorbs 53% of all churn</t>
  </si>
  <si>
    <t xml:space="preserve">Activation cliff</t>
  </si>
  <si>
    <t xml:space="preserve">1-feature trap (peak churn)</t>
  </si>
  <si>
    <t xml:space="preserve">45.8% vs 21.4% (zero features)</t>
  </si>
  <si>
    <t xml:space="preserve">Monthly revenue at risk</t>
  </si>
  <si>
    <t xml:space="preserve">$139,131</t>
  </si>
  <si>
    <t xml:space="preserve">Electronic check + Paperless = worst combo</t>
  </si>
  <si>
    <t xml:space="preserve">49.8% churn</t>
  </si>
  <si>
    <t xml:space="preserve">Logistic regression model AUC</t>
  </si>
  <si>
    <t xml:space="preserve">0.844</t>
  </si>
  <si>
    <t xml:space="preserve">EV(Skimming) - EV(Penetration)</t>
  </si>
  <si>
    <t xml:space="preserve">+$232 per customer</t>
  </si>
  <si>
    <t xml:space="preserve">Sheet Map</t>
  </si>
  <si>
    <t xml:space="preserve">Inputs</t>
  </si>
  <si>
    <t xml:space="preserve">LTV, conversion rates, investment costs (named ranges)</t>
  </si>
  <si>
    <t xml:space="preserve">Funnel_Data</t>
  </si>
  <si>
    <t xml:space="preserve">5-stage tenure funnel (Awareness → Advocacy)</t>
  </si>
  <si>
    <t xml:space="preserve">MECE_Branches</t>
  </si>
  <si>
    <t xml:space="preserve">5 root-cause axes: Contract / Payment / Service / Demo / Features</t>
  </si>
  <si>
    <t xml:space="preserve">STP_Segments</t>
  </si>
  <si>
    <t xml:space="preserve">4 actionable segments + revenue at risk</t>
  </si>
  <si>
    <t xml:space="preserve">Decision_Tree</t>
  </si>
  <si>
    <t xml:space="preserve">Skimming vs Penetration EV (live formulas)</t>
  </si>
  <si>
    <t xml:space="preserve">Sensitivity</t>
  </si>
  <si>
    <t xml:space="preserve">2D sensitivity: Skimming EV by conversion × cost</t>
  </si>
  <si>
    <t xml:space="preserve">Recommendation</t>
  </si>
  <si>
    <t xml:space="preserve">Pyramid summary</t>
  </si>
  <si>
    <t xml:space="preserve">Honest call-outs</t>
  </si>
  <si>
    <t xml:space="preserve">  - PivotCo is a synthetic anchor - per-customer numbers real, $200M ARR narrated</t>
  </si>
  <si>
    <t xml:space="preserve">  - Dataset is technically telecom; reframed as B2B subscription-services</t>
  </si>
  <si>
    <t xml:space="preserve">  - Skimming/Penetration reframed from pricing to contract-strategy choice</t>
  </si>
  <si>
    <t xml:space="preserve">  - TotalCharges has 11 blank rows (all tenure=0 new customers); coerced to NULL</t>
  </si>
  <si>
    <t xml:space="preserve">  - Conversion rates use industry SaaS benchmarks (10-30% for tier upgrades, 20-40% for new acquisition)</t>
  </si>
  <si>
    <t xml:space="preserve">DECISION TREE INPUTS</t>
  </si>
  <si>
    <t xml:space="preserve">Adjust these to recalculate Decision_Tree and Sensitivity sheets.</t>
  </si>
  <si>
    <t xml:space="preserve">Parameter</t>
  </si>
  <si>
    <t xml:space="preserve">Value</t>
  </si>
  <si>
    <t xml:space="preserve">Notes</t>
  </si>
  <si>
    <t xml:space="preserve">LTV: Month-to-month customer ($)</t>
  </si>
  <si>
    <t xml:space="preserve">Avg monthly $66.40 × expected lifetime 2.3mo</t>
  </si>
  <si>
    <t xml:space="preserve">LTV: Two-year customer ($)</t>
  </si>
  <si>
    <t xml:space="preserve">Avg monthly $60.77 × expected lifetime 35.3mo</t>
  </si>
  <si>
    <t xml:space="preserve">Skimming conversion rate</t>
  </si>
  <si>
    <t xml:space="preserve">20% of MTM convert to 2yr (industry benchmark)</t>
  </si>
  <si>
    <t xml:space="preserve">Skimming investment cost ($/cust)</t>
  </si>
  <si>
    <t xml:space="preserve">Incentive + onboarding bundle</t>
  </si>
  <si>
    <t xml:space="preserve">Penetration conversion rate</t>
  </si>
  <si>
    <t xml:space="preserve">30% lead-to-customer for low-friction tier</t>
  </si>
  <si>
    <t xml:space="preserve">Penetration CAC ($/cust)</t>
  </si>
  <si>
    <t xml:space="preserve">Standard digital marketing CAC</t>
  </si>
  <si>
    <t xml:space="preserve">MTM customer count</t>
  </si>
  <si>
    <t xml:space="preserve">From data</t>
  </si>
  <si>
    <t xml:space="preserve">Penetration prospect pool</t>
  </si>
  <si>
    <t xml:space="preserve">Marketable leads / quarter</t>
  </si>
  <si>
    <t xml:space="preserve">CUSTOMER JOURNEY FUNNEL (5-stage)</t>
  </si>
  <si>
    <t xml:space="preserve">Tenure-bucketed retention curve. The 0-6mo cliff absorbs 53% of all churn.</t>
  </si>
  <si>
    <t xml:space="preserve">Stage</t>
  </si>
  <si>
    <t xml:space="preserve">Tenure</t>
  </si>
  <si>
    <t xml:space="preserve">Customers</t>
  </si>
  <si>
    <t xml:space="preserve">Churners</t>
  </si>
  <si>
    <t xml:space="preserve">Churn rate</t>
  </si>
  <si>
    <t xml:space="preserve">Avg monthly $</t>
  </si>
  <si>
    <t xml:space="preserve">Total monthly $</t>
  </si>
  <si>
    <t xml:space="preserve">Awareness</t>
  </si>
  <si>
    <t xml:space="preserve">0-6mo</t>
  </si>
  <si>
    <t xml:space="preserve">Activation</t>
  </si>
  <si>
    <t xml:space="preserve">7-12mo</t>
  </si>
  <si>
    <t xml:space="preserve">Engagement</t>
  </si>
  <si>
    <t xml:space="preserve">13-24mo</t>
  </si>
  <si>
    <t xml:space="preserve">Retention</t>
  </si>
  <si>
    <t xml:space="preserve">25-48mo</t>
  </si>
  <si>
    <t xml:space="preserve">Advocacy</t>
  </si>
  <si>
    <t xml:space="preserve">49-72mo</t>
  </si>
  <si>
    <t xml:space="preserve">MECE ROOT-CAUSE DECOMPOSITION (5 branches)</t>
  </si>
  <si>
    <t xml:space="preserve">Mutually Exclusive, Collectively Exhaustive. Ranked by signal strength (max-min spread).</t>
  </si>
  <si>
    <t xml:space="preserve">Branch</t>
  </si>
  <si>
    <t xml:space="preserve">Lever</t>
  </si>
  <si>
    <t xml:space="preserve">Best case</t>
  </si>
  <si>
    <t xml:space="preserve">Worst case</t>
  </si>
  <si>
    <t xml:space="preserve">Spread (pp)</t>
  </si>
  <si>
    <t xml:space="preserve">Hypothesis</t>
  </si>
  <si>
    <t xml:space="preserve">Contract Friction</t>
  </si>
  <si>
    <t xml:space="preserve">Contract length</t>
  </si>
  <si>
    <t xml:space="preserve">2-yr: 2.8%</t>
  </si>
  <si>
    <t xml:space="preserve">MTM: 42.7%</t>
  </si>
  <si>
    <t xml:space="preserve">Short commitments → easy to leave</t>
  </si>
  <si>
    <t xml:space="preserve">Service Quality</t>
  </si>
  <si>
    <t xml:space="preserve">Internet service</t>
  </si>
  <si>
    <t xml:space="preserve">No internet: 7.4%</t>
  </si>
  <si>
    <t xml:space="preserve">Fiber optic: 41.9%</t>
  </si>
  <si>
    <t xml:space="preserve">Fiber optic price/expectation mismatch</t>
  </si>
  <si>
    <t xml:space="preserve">Payment Friction</t>
  </si>
  <si>
    <t xml:space="preserve">Payment method</t>
  </si>
  <si>
    <t xml:space="preserve">Credit card auto: 15.2%</t>
  </si>
  <si>
    <t xml:space="preserve">E-check: 45.3%</t>
  </si>
  <si>
    <t xml:space="preserve">Manual payment = friction churn</t>
  </si>
  <si>
    <t xml:space="preserve">Feature Engagement</t>
  </si>
  <si>
    <t xml:space="preserve"># features adopted</t>
  </si>
  <si>
    <t xml:space="preserve">6 features: 5.3%</t>
  </si>
  <si>
    <t xml:space="preserve">1 feature: 45.8%</t>
  </si>
  <si>
    <t xml:space="preserve">The 1-feature trap</t>
  </si>
  <si>
    <t xml:space="preserve">Demographic Risk</t>
  </si>
  <si>
    <t xml:space="preserve">Senior + contract</t>
  </si>
  <si>
    <t xml:space="preserve">Non-sr + 2yr: 2.7%</t>
  </si>
  <si>
    <t xml:space="preserve">Sr + MTM: 54.6%</t>
  </si>
  <si>
    <t xml:space="preserve">Senior + short contract = peak risk</t>
  </si>
  <si>
    <t xml:space="preserve">STP SEGMENTATION (4 actionable + 1 mainstream)</t>
  </si>
  <si>
    <t xml:space="preserve">Segmentation built from tenure × monthly_charges × contract × features_adopted.</t>
  </si>
  <si>
    <t xml:space="preserve">Segment</t>
  </si>
  <si>
    <t xml:space="preserve">Avg tenure</t>
  </si>
  <si>
    <t xml:space="preserve">Est. LTV</t>
  </si>
  <si>
    <t xml:space="preserve">Monthly $ at risk</t>
  </si>
  <si>
    <t xml:space="preserve">Action</t>
  </si>
  <si>
    <t xml:space="preserve">High Value Loyalists</t>
  </si>
  <si>
    <t xml:space="preserve">Defend / expand</t>
  </si>
  <si>
    <t xml:space="preserve">At-Risk High Spenders</t>
  </si>
  <si>
    <t xml:space="preserve">Save campaign (top priority)</t>
  </si>
  <si>
    <t xml:space="preserve">Low Engagement Newcomers</t>
  </si>
  <si>
    <t xml:space="preserve">Onboarding intervention</t>
  </si>
  <si>
    <t xml:space="preserve">Sticky Basics</t>
  </si>
  <si>
    <t xml:space="preserve">Maintain (low touch)</t>
  </si>
  <si>
    <t xml:space="preserve">Mainstream</t>
  </si>
  <si>
    <t xml:space="preserve">Standard care</t>
  </si>
  <si>
    <t xml:space="preserve">EXPECTED VALUE DECISION TREE</t>
  </si>
  <si>
    <t xml:space="preserve">Skimming (lock-in 2yr) vs Penetration (acquire MTM). Formulas pull from Inputs.</t>
  </si>
  <si>
    <t xml:space="preserve">STRATEGY 1: SKIMMING (convert MTM → 2yr)</t>
  </si>
  <si>
    <t xml:space="preserve">Component</t>
  </si>
  <si>
    <t xml:space="preserve">Formula / Source</t>
  </si>
  <si>
    <t xml:space="preserve">LTV uplift per converted customer</t>
  </si>
  <si>
    <t xml:space="preserve">LTV(2yr) - LTV(MTM)</t>
  </si>
  <si>
    <t xml:space="preserve">Conversion rate</t>
  </si>
  <si>
    <t xml:space="preserve">From Inputs</t>
  </si>
  <si>
    <t xml:space="preserve">Investment cost per attempt</t>
  </si>
  <si>
    <t xml:space="preserve">EV per attempted conversion</t>
  </si>
  <si>
    <t xml:space="preserve">p_conv × (gain) - cost</t>
  </si>
  <si>
    <t xml:space="preserve">Total expected value (full MTM portfolio)</t>
  </si>
  <si>
    <t xml:space="preserve">EV × pool size</t>
  </si>
  <si>
    <t xml:space="preserve">STRATEGY 2: PENETRATION (acquire new MTM)</t>
  </si>
  <si>
    <t xml:space="preserve">LTV per acquired customer</t>
  </si>
  <si>
    <t xml:space="preserve">Acquisition rate</t>
  </si>
  <si>
    <t xml:space="preserve">CAC per acquisition attempt</t>
  </si>
  <si>
    <t xml:space="preserve">EV per acquisition attempt</t>
  </si>
  <si>
    <t xml:space="preserve">q × LTV - CAC</t>
  </si>
  <si>
    <t xml:space="preserve">Total expected value (full lead pool)</t>
  </si>
  <si>
    <t xml:space="preserve">COMPARISON</t>
  </si>
  <si>
    <t xml:space="preserve">EV(Skimming) - EV(Penetration) per attempt</t>
  </si>
  <si>
    <t xml:space="preserve">Recommended strategy</t>
  </si>
  <si>
    <t xml:space="preserve">SENSITIVITY: SKIMMING EV by (conversion rate × cost)</t>
  </si>
  <si>
    <t xml:space="preserve">2D table: rows=conversion rate, columns=investment cost. Green = positive EV.</t>
  </si>
  <si>
    <t xml:space="preserve">Conv ↓ / Cost →</t>
  </si>
  <si>
    <t xml:space="preserve">Interpretation:</t>
  </si>
  <si>
    <t xml:space="preserve">  - At our base case (20% conversion, $200 cost): EV = +$198/customer.</t>
  </si>
  <si>
    <t xml:space="preserve">  - Skimming dominates Penetration if cost ≤ $632 at 20% conversion.</t>
  </si>
  <si>
    <t xml:space="preserve">  - Even at 10% conversion (worst case), Skimming is profitable up to $199 cost.</t>
  </si>
  <si>
    <t xml:space="preserve">  - Sensitivity table shows the strategy is robust across most realistic parameter ranges.</t>
  </si>
  <si>
    <t xml:space="preserve">STRATEGIC GROWTH RECOMMENDATION (Pyramid)</t>
  </si>
  <si>
    <t xml:space="preserve">TOP RECOMMENDATION</t>
  </si>
  <si>
    <t xml:space="preserve">Pivot from MTM-volume strategy to multi-year-contract Skimming. Save the At-Risk High Spenders segment first.</t>
  </si>
  <si>
    <t xml:space="preserve">SUPPORT 1: EV Math</t>
  </si>
  <si>
    <t xml:space="preserve">Skimming EV = +$198/customer; Penetration EV = -$34/customer (at base case). Sensitivity table confirms robustness across realistic parameter ranges.</t>
  </si>
  <si>
    <t xml:space="preserve">SUPPORT 2: Segment Targeting</t>
  </si>
  <si>
    <t xml:space="preserve">At-Risk High Spenders: 1,465 customers, $93/mo, 52% churn. Target this segment first - $71K/mo at risk, $4.5M annualized LTV exposure.</t>
  </si>
  <si>
    <t xml:space="preserve">SUPPORT 3: Process Lever</t>
  </si>
  <si>
    <t xml:space="preserve">Close the 1-feature trap via 30/60/90 onboarding milestones. 966 customers stuck at 1 feature with 46% churn. Drive to 3+ features = drops to 27% churn.</t>
  </si>
  <si>
    <t xml:space="preserve">12-Month Financial Projection</t>
  </si>
  <si>
    <t xml:space="preserve">Initiative</t>
  </si>
  <si>
    <t xml:space="preserve">Target customers</t>
  </si>
  <si>
    <t xml:space="preserve">Projected save rate</t>
  </si>
  <si>
    <t xml:space="preserve">LTV uplift</t>
  </si>
  <si>
    <t xml:space="preserve">Total impact</t>
  </si>
  <si>
    <t xml:space="preserve">Skimming: MTM → 2yr migration</t>
  </si>
  <si>
    <t xml:space="preserve">1,000 (top quartile MTM)</t>
  </si>
  <si>
    <t xml:space="preserve">20%</t>
  </si>
  <si>
    <t xml:space="preserve">Save campaign: At-Risk High Spenders</t>
  </si>
  <si>
    <t xml:space="preserve">1,465</t>
  </si>
  <si>
    <t xml:space="preserve">15%</t>
  </si>
  <si>
    <t xml:space="preserve">Onboarding redesign: 1-feature trap</t>
  </si>
  <si>
    <t xml:space="preserve">966</t>
  </si>
  <si>
    <t xml:space="preserve">30%</t>
  </si>
  <si>
    <t xml:space="preserve">Payment friction: e-check → auto pay</t>
  </si>
  <si>
    <t xml:space="preserve">2,365</t>
  </si>
  <si>
    <t xml:space="preserve">5%</t>
  </si>
  <si>
    <t xml:space="preserve">TOTAL 12-MONTH IMPACT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</si>
</sst>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#,##0"/>
    <numFmt numFmtId="168" formatCode="\$#,##0.00"/>
    <numFmt numFmtId="169" formatCode="0.0"/>
    <numFmt numFmtId="170" formatCode="\$#,##0;[RED]&quot;($&quot;#,##0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7CE"/>
        <bgColor rgb="FFD9E2F3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5</v>
      </c>
      <c r="C8" s="6" t="s">
        <v>6</v>
      </c>
    </row>
    <row r="9" customFormat="false" ht="15" hidden="false" customHeight="false" outlineLevel="0" collapsed="false">
      <c r="B9" s="4" t="s">
        <v>7</v>
      </c>
      <c r="C9" s="7" t="s">
        <v>8</v>
      </c>
    </row>
    <row r="10" customFormat="false" ht="15" hidden="false" customHeight="false" outlineLevel="0" collapsed="false">
      <c r="B10" s="4" t="s">
        <v>9</v>
      </c>
      <c r="C10" s="6" t="s">
        <v>10</v>
      </c>
    </row>
    <row r="11" customFormat="false" ht="15" hidden="false" customHeight="false" outlineLevel="0" collapsed="false">
      <c r="B11" s="4" t="s">
        <v>11</v>
      </c>
      <c r="C11" s="6" t="s">
        <v>12</v>
      </c>
    </row>
    <row r="12" customFormat="false" ht="15" hidden="false" customHeight="false" outlineLevel="0" collapsed="false">
      <c r="B12" s="4" t="s">
        <v>13</v>
      </c>
      <c r="C12" s="6" t="s">
        <v>14</v>
      </c>
    </row>
    <row r="13" customFormat="false" ht="15" hidden="false" customHeight="false" outlineLevel="0" collapsed="false">
      <c r="B13" s="4" t="s">
        <v>15</v>
      </c>
      <c r="C13" s="6" t="s">
        <v>16</v>
      </c>
    </row>
    <row r="14" customFormat="false" ht="15" hidden="false" customHeight="false" outlineLevel="0" collapsed="false">
      <c r="B14" s="4" t="s">
        <v>17</v>
      </c>
      <c r="C14" s="7" t="s">
        <v>18</v>
      </c>
    </row>
    <row r="15" customFormat="false" ht="15" hidden="false" customHeight="false" outlineLevel="0" collapsed="false">
      <c r="B15" s="4" t="s">
        <v>19</v>
      </c>
      <c r="C15" s="7" t="s">
        <v>20</v>
      </c>
    </row>
    <row r="18" customFormat="false" ht="17.35" hidden="false" customHeight="false" outlineLevel="0" collapsed="false">
      <c r="B18" s="3" t="s">
        <v>21</v>
      </c>
    </row>
    <row r="20" customFormat="false" ht="15" hidden="false" customHeight="false" outlineLevel="0" collapsed="false">
      <c r="B20" s="8" t="s">
        <v>22</v>
      </c>
      <c r="C20" s="9" t="s">
        <v>23</v>
      </c>
    </row>
    <row r="21" customFormat="false" ht="15" hidden="false" customHeight="false" outlineLevel="0" collapsed="false">
      <c r="B21" s="8" t="s">
        <v>24</v>
      </c>
      <c r="C21" s="9" t="s">
        <v>25</v>
      </c>
    </row>
    <row r="22" customFormat="false" ht="15" hidden="false" customHeight="false" outlineLevel="0" collapsed="false">
      <c r="B22" s="8" t="s">
        <v>26</v>
      </c>
      <c r="C22" s="9" t="s">
        <v>27</v>
      </c>
    </row>
    <row r="23" customFormat="false" ht="15" hidden="false" customHeight="false" outlineLevel="0" collapsed="false">
      <c r="B23" s="8" t="s">
        <v>28</v>
      </c>
      <c r="C23" s="9" t="s">
        <v>29</v>
      </c>
    </row>
    <row r="24" customFormat="false" ht="15" hidden="false" customHeight="false" outlineLevel="0" collapsed="false">
      <c r="B24" s="8" t="s">
        <v>30</v>
      </c>
      <c r="C24" s="9" t="s">
        <v>31</v>
      </c>
    </row>
    <row r="25" customFormat="false" ht="15" hidden="false" customHeight="false" outlineLevel="0" collapsed="false">
      <c r="B25" s="8" t="s">
        <v>32</v>
      </c>
      <c r="C25" s="9" t="s">
        <v>33</v>
      </c>
    </row>
    <row r="26" customFormat="false" ht="15" hidden="false" customHeight="false" outlineLevel="0" collapsed="false">
      <c r="B26" s="8" t="s">
        <v>34</v>
      </c>
      <c r="C26" s="9" t="s">
        <v>35</v>
      </c>
    </row>
    <row r="29" customFormat="false" ht="15" hidden="false" customHeight="false" outlineLevel="0" collapsed="false">
      <c r="B29" s="10" t="s">
        <v>36</v>
      </c>
    </row>
    <row r="30" customFormat="false" ht="15" hidden="false" customHeight="false" outlineLevel="0" collapsed="false">
      <c r="B30" s="11" t="s">
        <v>37</v>
      </c>
    </row>
    <row r="31" customFormat="false" ht="15" hidden="false" customHeight="false" outlineLevel="0" collapsed="false">
      <c r="B31" s="11" t="s">
        <v>38</v>
      </c>
    </row>
    <row r="32" customFormat="false" ht="15" hidden="false" customHeight="false" outlineLevel="0" collapsed="false">
      <c r="B32" s="11" t="s">
        <v>39</v>
      </c>
    </row>
    <row r="33" customFormat="false" ht="15" hidden="false" customHeight="false" outlineLevel="0" collapsed="false">
      <c r="B33" s="11" t="s">
        <v>40</v>
      </c>
    </row>
    <row r="34" customFormat="false" ht="15" hidden="false" customHeight="false" outlineLevel="0" collapsed="false">
      <c r="B34" s="1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5"/>
  </cols>
  <sheetData>
    <row r="2" customFormat="false" ht="17.35" hidden="false" customHeight="false" outlineLevel="0" collapsed="false">
      <c r="B2" s="3" t="s">
        <v>42</v>
      </c>
    </row>
    <row r="3" customFormat="false" ht="15" hidden="false" customHeight="false" outlineLevel="0" collapsed="false">
      <c r="B3" s="12" t="s">
        <v>43</v>
      </c>
    </row>
    <row r="5" customFormat="false" ht="15" hidden="false" customHeight="false" outlineLevel="0" collapsed="false">
      <c r="B5" s="13" t="s">
        <v>44</v>
      </c>
      <c r="C5" s="13" t="s">
        <v>45</v>
      </c>
      <c r="D5" s="13" t="s">
        <v>46</v>
      </c>
    </row>
    <row r="6" customFormat="false" ht="15" hidden="false" customHeight="false" outlineLevel="0" collapsed="false">
      <c r="B6" s="9" t="s">
        <v>47</v>
      </c>
      <c r="C6" s="14" t="n">
        <v>155</v>
      </c>
      <c r="D6" s="15" t="s">
        <v>48</v>
      </c>
    </row>
    <row r="7" customFormat="false" ht="15" hidden="false" customHeight="false" outlineLevel="0" collapsed="false">
      <c r="B7" s="9" t="s">
        <v>49</v>
      </c>
      <c r="C7" s="14" t="n">
        <v>2145</v>
      </c>
      <c r="D7" s="15" t="s">
        <v>50</v>
      </c>
    </row>
    <row r="8" customFormat="false" ht="15" hidden="false" customHeight="false" outlineLevel="0" collapsed="false">
      <c r="B8" s="9" t="s">
        <v>51</v>
      </c>
      <c r="C8" s="16" t="n">
        <v>0.2</v>
      </c>
      <c r="D8" s="15" t="s">
        <v>52</v>
      </c>
    </row>
    <row r="9" customFormat="false" ht="15" hidden="false" customHeight="false" outlineLevel="0" collapsed="false">
      <c r="B9" s="9" t="s">
        <v>53</v>
      </c>
      <c r="C9" s="14" t="n">
        <v>200</v>
      </c>
      <c r="D9" s="15" t="s">
        <v>54</v>
      </c>
    </row>
    <row r="10" customFormat="false" ht="15" hidden="false" customHeight="false" outlineLevel="0" collapsed="false">
      <c r="B10" s="9" t="s">
        <v>55</v>
      </c>
      <c r="C10" s="16" t="n">
        <v>0.3</v>
      </c>
      <c r="D10" s="15" t="s">
        <v>56</v>
      </c>
    </row>
    <row r="11" customFormat="false" ht="15" hidden="false" customHeight="false" outlineLevel="0" collapsed="false">
      <c r="B11" s="9" t="s">
        <v>57</v>
      </c>
      <c r="C11" s="14" t="n">
        <v>80</v>
      </c>
      <c r="D11" s="15" t="s">
        <v>58</v>
      </c>
    </row>
    <row r="12" customFormat="false" ht="15" hidden="false" customHeight="false" outlineLevel="0" collapsed="false">
      <c r="B12" s="9" t="s">
        <v>59</v>
      </c>
      <c r="C12" s="17" t="n">
        <v>3875</v>
      </c>
      <c r="D12" s="15" t="s">
        <v>60</v>
      </c>
    </row>
    <row r="13" customFormat="false" ht="15" hidden="false" customHeight="false" outlineLevel="0" collapsed="false">
      <c r="B13" s="9" t="s">
        <v>61</v>
      </c>
      <c r="C13" s="17" t="n">
        <v>10000</v>
      </c>
      <c r="D13" s="1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</cols>
  <sheetData>
    <row r="2" customFormat="false" ht="17.35" hidden="false" customHeight="false" outlineLevel="0" collapsed="false">
      <c r="B2" s="3" t="s">
        <v>63</v>
      </c>
    </row>
    <row r="3" customFormat="false" ht="15" hidden="false" customHeight="false" outlineLevel="0" collapsed="false">
      <c r="B3" s="12" t="s">
        <v>64</v>
      </c>
    </row>
    <row r="5" customFormat="false" ht="15" hidden="false" customHeight="false" outlineLevel="0" collapsed="false">
      <c r="B5" s="13" t="s">
        <v>65</v>
      </c>
      <c r="C5" s="13" t="s">
        <v>66</v>
      </c>
      <c r="D5" s="13" t="s">
        <v>67</v>
      </c>
      <c r="E5" s="13" t="s">
        <v>68</v>
      </c>
      <c r="F5" s="13" t="s">
        <v>69</v>
      </c>
      <c r="G5" s="13" t="s">
        <v>70</v>
      </c>
      <c r="H5" s="13" t="s">
        <v>71</v>
      </c>
    </row>
    <row r="6" customFormat="false" ht="15" hidden="false" customHeight="false" outlineLevel="0" collapsed="false">
      <c r="B6" s="9" t="s">
        <v>72</v>
      </c>
      <c r="C6" s="9" t="s">
        <v>73</v>
      </c>
      <c r="D6" s="17" t="n">
        <v>1481</v>
      </c>
      <c r="E6" s="17" t="n">
        <v>784</v>
      </c>
      <c r="F6" s="16" t="n">
        <v>0.529</v>
      </c>
      <c r="G6" s="18" t="n">
        <v>50.74</v>
      </c>
      <c r="H6" s="14" t="n">
        <v>75144</v>
      </c>
    </row>
    <row r="7" customFormat="false" ht="15" hidden="false" customHeight="false" outlineLevel="0" collapsed="false">
      <c r="B7" s="9" t="s">
        <v>74</v>
      </c>
      <c r="C7" s="9" t="s">
        <v>75</v>
      </c>
      <c r="D7" s="17" t="n">
        <v>705</v>
      </c>
      <c r="E7" s="17" t="n">
        <v>253</v>
      </c>
      <c r="F7" s="16" t="n">
        <v>0.359</v>
      </c>
      <c r="G7" s="18" t="n">
        <v>56.77</v>
      </c>
      <c r="H7" s="14" t="n">
        <v>40023</v>
      </c>
    </row>
    <row r="8" customFormat="false" ht="15" hidden="false" customHeight="false" outlineLevel="0" collapsed="false">
      <c r="B8" s="9" t="s">
        <v>76</v>
      </c>
      <c r="C8" s="9" t="s">
        <v>77</v>
      </c>
      <c r="D8" s="17" t="n">
        <v>1024</v>
      </c>
      <c r="E8" s="17" t="n">
        <v>294</v>
      </c>
      <c r="F8" s="16" t="n">
        <v>0.287</v>
      </c>
      <c r="G8" s="18" t="n">
        <v>64.55</v>
      </c>
      <c r="H8" s="14" t="n">
        <v>66099</v>
      </c>
    </row>
    <row r="9" customFormat="false" ht="15" hidden="false" customHeight="false" outlineLevel="0" collapsed="false">
      <c r="B9" s="9" t="s">
        <v>78</v>
      </c>
      <c r="C9" s="9" t="s">
        <v>79</v>
      </c>
      <c r="D9" s="17" t="n">
        <v>1594</v>
      </c>
      <c r="E9" s="17" t="n">
        <v>326</v>
      </c>
      <c r="F9" s="16" t="n">
        <v>0.204</v>
      </c>
      <c r="G9" s="18" t="n">
        <v>72.07</v>
      </c>
      <c r="H9" s="14" t="n">
        <v>114879</v>
      </c>
    </row>
    <row r="10" customFormat="false" ht="15" hidden="false" customHeight="false" outlineLevel="0" collapsed="false">
      <c r="B10" s="9" t="s">
        <v>80</v>
      </c>
      <c r="C10" s="9" t="s">
        <v>81</v>
      </c>
      <c r="D10" s="17" t="n">
        <v>2239</v>
      </c>
      <c r="E10" s="17" t="n">
        <v>212</v>
      </c>
      <c r="F10" s="16" t="n">
        <v>0.095</v>
      </c>
      <c r="G10" s="18" t="n">
        <v>71.85</v>
      </c>
      <c r="H10" s="14" t="n">
        <v>160871</v>
      </c>
    </row>
  </sheetData>
  <conditionalFormatting sqref="F6:F10">
    <cfRule type="cellIs" priority="2" operator="greater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0.2</formula>
      <formula>0.4</formula>
    </cfRule>
    <cfRule type="cellIs" priority="4" operator="lessThan" aboveAverage="0" equalAverage="0" bottom="0" percent="0" rank="0" text="" dxfId="2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22"/>
    <col collapsed="false" customWidth="true" hidden="false" outlineLevel="0" max="5" min="4" style="0" width="24"/>
    <col collapsed="false" customWidth="true" hidden="false" outlineLevel="0" max="6" min="6" style="0" width="14"/>
    <col collapsed="false" customWidth="true" hidden="false" outlineLevel="0" max="7" min="7" style="0" width="35"/>
  </cols>
  <sheetData>
    <row r="2" customFormat="false" ht="17.35" hidden="false" customHeight="false" outlineLevel="0" collapsed="false">
      <c r="B2" s="3" t="s">
        <v>82</v>
      </c>
    </row>
    <row r="3" customFormat="false" ht="15" hidden="false" customHeight="false" outlineLevel="0" collapsed="false">
      <c r="B3" s="12" t="s">
        <v>83</v>
      </c>
    </row>
    <row r="5" customFormat="false" ht="15" hidden="false" customHeight="false" outlineLevel="0" collapsed="false">
      <c r="B5" s="13" t="s">
        <v>84</v>
      </c>
      <c r="C5" s="13" t="s">
        <v>85</v>
      </c>
      <c r="D5" s="13" t="s">
        <v>86</v>
      </c>
      <c r="E5" s="13" t="s">
        <v>87</v>
      </c>
      <c r="F5" s="13" t="s">
        <v>88</v>
      </c>
      <c r="G5" s="13" t="s">
        <v>89</v>
      </c>
    </row>
    <row r="6" customFormat="false" ht="15" hidden="false" customHeight="false" outlineLevel="0" collapsed="false">
      <c r="B6" s="19" t="s">
        <v>90</v>
      </c>
      <c r="C6" s="9" t="s">
        <v>91</v>
      </c>
      <c r="D6" s="20" t="s">
        <v>92</v>
      </c>
      <c r="E6" s="21" t="s">
        <v>93</v>
      </c>
      <c r="F6" s="22" t="n">
        <v>39.9</v>
      </c>
      <c r="G6" s="15" t="s">
        <v>94</v>
      </c>
    </row>
    <row r="7" customFormat="false" ht="15" hidden="false" customHeight="false" outlineLevel="0" collapsed="false">
      <c r="B7" s="19" t="s">
        <v>95</v>
      </c>
      <c r="C7" s="9" t="s">
        <v>96</v>
      </c>
      <c r="D7" s="20" t="s">
        <v>97</v>
      </c>
      <c r="E7" s="21" t="s">
        <v>98</v>
      </c>
      <c r="F7" s="22" t="n">
        <v>34.5</v>
      </c>
      <c r="G7" s="15" t="s">
        <v>99</v>
      </c>
    </row>
    <row r="8" customFormat="false" ht="15" hidden="false" customHeight="false" outlineLevel="0" collapsed="false">
      <c r="B8" s="19" t="s">
        <v>100</v>
      </c>
      <c r="C8" s="9" t="s">
        <v>101</v>
      </c>
      <c r="D8" s="20" t="s">
        <v>102</v>
      </c>
      <c r="E8" s="21" t="s">
        <v>103</v>
      </c>
      <c r="F8" s="22" t="n">
        <v>30.1</v>
      </c>
      <c r="G8" s="15" t="s">
        <v>104</v>
      </c>
    </row>
    <row r="9" customFormat="false" ht="15" hidden="false" customHeight="false" outlineLevel="0" collapsed="false">
      <c r="B9" s="19" t="s">
        <v>105</v>
      </c>
      <c r="C9" s="9" t="s">
        <v>106</v>
      </c>
      <c r="D9" s="20" t="s">
        <v>107</v>
      </c>
      <c r="E9" s="21" t="s">
        <v>108</v>
      </c>
      <c r="F9" s="22" t="n">
        <v>40.5</v>
      </c>
      <c r="G9" s="15" t="s">
        <v>109</v>
      </c>
    </row>
    <row r="10" customFormat="false" ht="15" hidden="false" customHeight="false" outlineLevel="0" collapsed="false">
      <c r="B10" s="19" t="s">
        <v>110</v>
      </c>
      <c r="C10" s="9" t="s">
        <v>111</v>
      </c>
      <c r="D10" s="20" t="s">
        <v>112</v>
      </c>
      <c r="E10" s="21" t="s">
        <v>113</v>
      </c>
      <c r="F10" s="22" t="n">
        <v>51.9</v>
      </c>
      <c r="G10" s="1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32"/>
  </cols>
  <sheetData>
    <row r="2" customFormat="false" ht="17.35" hidden="false" customHeight="false" outlineLevel="0" collapsed="false">
      <c r="B2" s="3" t="s">
        <v>115</v>
      </c>
    </row>
    <row r="3" customFormat="false" ht="15" hidden="false" customHeight="false" outlineLevel="0" collapsed="false">
      <c r="B3" s="12" t="s">
        <v>116</v>
      </c>
    </row>
    <row r="5" customFormat="false" ht="15" hidden="false" customHeight="false" outlineLevel="0" collapsed="false">
      <c r="B5" s="13" t="s">
        <v>117</v>
      </c>
      <c r="C5" s="13" t="s">
        <v>67</v>
      </c>
      <c r="D5" s="13" t="s">
        <v>69</v>
      </c>
      <c r="E5" s="13" t="s">
        <v>70</v>
      </c>
      <c r="F5" s="13" t="s">
        <v>118</v>
      </c>
      <c r="G5" s="13" t="s">
        <v>119</v>
      </c>
      <c r="H5" s="13" t="s">
        <v>120</v>
      </c>
      <c r="I5" s="13" t="s">
        <v>121</v>
      </c>
    </row>
    <row r="6" customFormat="false" ht="15" hidden="false" customHeight="false" outlineLevel="0" collapsed="false">
      <c r="B6" s="19" t="s">
        <v>122</v>
      </c>
      <c r="C6" s="17" t="n">
        <v>1419</v>
      </c>
      <c r="D6" s="16" t="n">
        <v>0.107</v>
      </c>
      <c r="E6" s="18" t="n">
        <v>94.52</v>
      </c>
      <c r="F6" s="23" t="n">
        <v>49</v>
      </c>
      <c r="G6" s="14" t="n">
        <v>4631</v>
      </c>
      <c r="H6" s="14" t="n">
        <v>14367</v>
      </c>
      <c r="I6" s="9" t="s">
        <v>123</v>
      </c>
    </row>
    <row r="7" customFormat="false" ht="15" hidden="false" customHeight="false" outlineLevel="0" collapsed="false">
      <c r="B7" s="19" t="s">
        <v>124</v>
      </c>
      <c r="C7" s="17" t="n">
        <v>1465</v>
      </c>
      <c r="D7" s="16" t="n">
        <v>0.522</v>
      </c>
      <c r="E7" s="18" t="n">
        <v>92.9</v>
      </c>
      <c r="F7" s="23" t="n">
        <v>18.5</v>
      </c>
      <c r="G7" s="14" t="n">
        <v>1719</v>
      </c>
      <c r="H7" s="14" t="n">
        <v>71067</v>
      </c>
      <c r="I7" s="9" t="s">
        <v>125</v>
      </c>
    </row>
    <row r="8" customFormat="false" ht="15" hidden="false" customHeight="false" outlineLevel="0" collapsed="false">
      <c r="B8" s="19" t="s">
        <v>126</v>
      </c>
      <c r="C8" s="17" t="n">
        <v>1366</v>
      </c>
      <c r="D8" s="16" t="n">
        <v>0.436</v>
      </c>
      <c r="E8" s="18" t="n">
        <v>47.5</v>
      </c>
      <c r="F8" s="23" t="n">
        <v>4.1</v>
      </c>
      <c r="G8" s="14" t="n">
        <v>195</v>
      </c>
      <c r="H8" s="14" t="n">
        <v>28315</v>
      </c>
      <c r="I8" s="9" t="s">
        <v>127</v>
      </c>
    </row>
    <row r="9" customFormat="false" ht="15" hidden="false" customHeight="false" outlineLevel="0" collapsed="false">
      <c r="B9" s="19" t="s">
        <v>128</v>
      </c>
      <c r="C9" s="17" t="n">
        <v>471</v>
      </c>
      <c r="D9" s="16" t="n">
        <v>0.015</v>
      </c>
      <c r="E9" s="18" t="n">
        <v>28.8</v>
      </c>
      <c r="F9" s="23" t="n">
        <v>64</v>
      </c>
      <c r="G9" s="14" t="n">
        <v>1843</v>
      </c>
      <c r="H9" s="14" t="n">
        <v>203</v>
      </c>
      <c r="I9" s="9" t="s">
        <v>129</v>
      </c>
    </row>
    <row r="10" customFormat="false" ht="15" hidden="false" customHeight="false" outlineLevel="0" collapsed="false">
      <c r="B10" s="19" t="s">
        <v>130</v>
      </c>
      <c r="C10" s="17" t="n">
        <v>2322</v>
      </c>
      <c r="D10" s="16" t="n">
        <v>0.151</v>
      </c>
      <c r="E10" s="18" t="n">
        <v>60.9</v>
      </c>
      <c r="F10" s="23" t="n">
        <v>32.1</v>
      </c>
      <c r="G10" s="14" t="n">
        <v>1955</v>
      </c>
      <c r="H10" s="14" t="n">
        <v>21380</v>
      </c>
      <c r="I10" s="9" t="s">
        <v>131</v>
      </c>
    </row>
  </sheetData>
  <conditionalFormatting sqref="D6:D10">
    <cfRule type="cellIs" priority="2" operator="greaterThan" aboveAverage="0" equalAverage="0" bottom="0" percent="0" rank="0" text="" dxfId="0">
      <formula>0.4</formula>
    </cfRule>
    <cfRule type="cellIs" priority="3" operator="lessThan" aboveAverage="0" equalAverage="0" bottom="0" percent="0" rank="0" text="" dxfId="2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14"/>
  </cols>
  <sheetData>
    <row r="2" customFormat="false" ht="17.35" hidden="false" customHeight="false" outlineLevel="0" collapsed="false">
      <c r="B2" s="3" t="s">
        <v>132</v>
      </c>
    </row>
    <row r="3" customFormat="false" ht="15" hidden="false" customHeight="false" outlineLevel="0" collapsed="false">
      <c r="B3" s="12" t="s">
        <v>133</v>
      </c>
    </row>
    <row r="5" customFormat="false" ht="15" hidden="false" customHeight="false" outlineLevel="0" collapsed="false">
      <c r="B5" s="8" t="s">
        <v>134</v>
      </c>
      <c r="C5" s="8"/>
      <c r="D5" s="8"/>
      <c r="E5" s="8"/>
      <c r="F5" s="8"/>
    </row>
    <row r="6" customFormat="false" ht="15" hidden="false" customHeight="false" outlineLevel="0" collapsed="false">
      <c r="B6" s="13" t="s">
        <v>135</v>
      </c>
      <c r="C6" s="13" t="s">
        <v>45</v>
      </c>
      <c r="D6" s="13" t="s">
        <v>136</v>
      </c>
      <c r="E6" s="13"/>
      <c r="F6" s="13"/>
    </row>
    <row r="7" customFormat="false" ht="15" hidden="false" customHeight="false" outlineLevel="0" collapsed="false">
      <c r="B7" s="9" t="s">
        <v>137</v>
      </c>
      <c r="C7" s="24" t="n">
        <f aca="false">LTV_TwoYear-LTV_MTM</f>
        <v>1990</v>
      </c>
      <c r="D7" s="15" t="s">
        <v>138</v>
      </c>
    </row>
    <row r="8" customFormat="false" ht="15" hidden="false" customHeight="false" outlineLevel="0" collapsed="false">
      <c r="B8" s="9" t="s">
        <v>139</v>
      </c>
      <c r="C8" s="25" t="n">
        <f aca="false">Conv_Skimming</f>
        <v>0.2</v>
      </c>
      <c r="D8" s="15" t="s">
        <v>140</v>
      </c>
    </row>
    <row r="9" customFormat="false" ht="15" hidden="false" customHeight="false" outlineLevel="0" collapsed="false">
      <c r="B9" s="9" t="s">
        <v>141</v>
      </c>
      <c r="C9" s="26" t="n">
        <f aca="false">Cost_Skimming</f>
        <v>200</v>
      </c>
      <c r="D9" s="15" t="s">
        <v>140</v>
      </c>
    </row>
    <row r="10" customFormat="false" ht="15" hidden="false" customHeight="false" outlineLevel="0" collapsed="false">
      <c r="B10" s="27" t="s">
        <v>142</v>
      </c>
      <c r="C10" s="28" t="n">
        <f aca="false">Conv_Skimming*(LTV_TwoYear-LTV_MTM)-Cost_Skimming</f>
        <v>198</v>
      </c>
      <c r="D10" s="15" t="s">
        <v>143</v>
      </c>
    </row>
    <row r="11" customFormat="false" ht="15" hidden="false" customHeight="false" outlineLevel="0" collapsed="false">
      <c r="B11" s="9" t="s">
        <v>144</v>
      </c>
      <c r="C11" s="24" t="n">
        <f aca="false">C10*MTM_population</f>
        <v>767250</v>
      </c>
      <c r="D11" s="15" t="s">
        <v>145</v>
      </c>
    </row>
    <row r="13" customFormat="false" ht="15" hidden="false" customHeight="false" outlineLevel="0" collapsed="false">
      <c r="B13" s="8" t="s">
        <v>146</v>
      </c>
      <c r="C13" s="8"/>
      <c r="D13" s="8"/>
      <c r="E13" s="8"/>
      <c r="F13" s="8"/>
    </row>
    <row r="14" customFormat="false" ht="15" hidden="false" customHeight="false" outlineLevel="0" collapsed="false">
      <c r="B14" s="13" t="s">
        <v>135</v>
      </c>
      <c r="C14" s="13" t="s">
        <v>45</v>
      </c>
      <c r="D14" s="13" t="s">
        <v>136</v>
      </c>
      <c r="E14" s="13"/>
      <c r="F14" s="13"/>
    </row>
    <row r="15" customFormat="false" ht="15" hidden="false" customHeight="false" outlineLevel="0" collapsed="false">
      <c r="B15" s="9" t="s">
        <v>147</v>
      </c>
      <c r="C15" s="26" t="n">
        <f aca="false">LTV_MTM</f>
        <v>155</v>
      </c>
      <c r="D15" s="15" t="s">
        <v>140</v>
      </c>
    </row>
    <row r="16" customFormat="false" ht="15" hidden="false" customHeight="false" outlineLevel="0" collapsed="false">
      <c r="B16" s="9" t="s">
        <v>148</v>
      </c>
      <c r="C16" s="25" t="n">
        <f aca="false">Conv_Penetration</f>
        <v>0.3</v>
      </c>
      <c r="D16" s="15" t="s">
        <v>140</v>
      </c>
    </row>
    <row r="17" customFormat="false" ht="15" hidden="false" customHeight="false" outlineLevel="0" collapsed="false">
      <c r="B17" s="9" t="s">
        <v>149</v>
      </c>
      <c r="C17" s="26" t="n">
        <f aca="false">Cost_Penetration</f>
        <v>80</v>
      </c>
      <c r="D17" s="15" t="s">
        <v>140</v>
      </c>
    </row>
    <row r="18" customFormat="false" ht="15" hidden="false" customHeight="false" outlineLevel="0" collapsed="false">
      <c r="B18" s="27" t="s">
        <v>150</v>
      </c>
      <c r="C18" s="28" t="n">
        <f aca="false">Conv_Penetration*LTV_MTM-Cost_Penetration</f>
        <v>-33.5</v>
      </c>
      <c r="D18" s="15" t="s">
        <v>151</v>
      </c>
    </row>
    <row r="19" customFormat="false" ht="15" hidden="false" customHeight="false" outlineLevel="0" collapsed="false">
      <c r="B19" s="9" t="s">
        <v>152</v>
      </c>
      <c r="C19" s="24" t="n">
        <f aca="false">C18*Acquisition_pool</f>
        <v>-335000</v>
      </c>
      <c r="D19" s="15" t="s">
        <v>145</v>
      </c>
    </row>
    <row r="21" customFormat="false" ht="15" hidden="false" customHeight="false" outlineLevel="0" collapsed="false">
      <c r="B21" s="8" t="s">
        <v>153</v>
      </c>
      <c r="C21" s="8"/>
      <c r="D21" s="8"/>
      <c r="E21" s="8"/>
      <c r="F21" s="8"/>
    </row>
    <row r="22" customFormat="false" ht="15" hidden="false" customHeight="false" outlineLevel="0" collapsed="false">
      <c r="B22" s="19" t="s">
        <v>154</v>
      </c>
      <c r="C22" s="29" t="n">
        <f aca="false">C10-C18</f>
        <v>231.5</v>
      </c>
    </row>
    <row r="23" customFormat="false" ht="15" hidden="false" customHeight="false" outlineLevel="0" collapsed="false">
      <c r="B23" s="19" t="s">
        <v>155</v>
      </c>
      <c r="C23" s="30" t="str">
        <f aca="false">IF(C10&gt;C18,"SKIMMING","PENETRATION")</f>
        <v>SKIMMING</v>
      </c>
    </row>
  </sheetData>
  <mergeCells count="3">
    <mergeCell ref="B5:F5"/>
    <mergeCell ref="B13:F13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2" style="0" width="14"/>
  </cols>
  <sheetData>
    <row r="2" customFormat="false" ht="17.35" hidden="false" customHeight="false" outlineLevel="0" collapsed="false">
      <c r="B2" s="3" t="s">
        <v>156</v>
      </c>
    </row>
    <row r="3" customFormat="false" ht="15" hidden="false" customHeight="false" outlineLevel="0" collapsed="false">
      <c r="B3" s="12" t="s">
        <v>157</v>
      </c>
    </row>
    <row r="5" customFormat="false" ht="15" hidden="false" customHeight="false" outlineLevel="0" collapsed="false">
      <c r="B5" s="8" t="s">
        <v>158</v>
      </c>
      <c r="C5" s="31" t="n">
        <v>100</v>
      </c>
      <c r="D5" s="31" t="n">
        <v>200</v>
      </c>
      <c r="E5" s="31" t="n">
        <v>300</v>
      </c>
      <c r="F5" s="31" t="n">
        <v>400</v>
      </c>
      <c r="G5" s="31" t="n">
        <v>500</v>
      </c>
      <c r="H5" s="31" t="n">
        <v>600</v>
      </c>
      <c r="I5" s="31" t="n">
        <v>800</v>
      </c>
    </row>
    <row r="6" customFormat="false" ht="15" hidden="false" customHeight="false" outlineLevel="0" collapsed="false">
      <c r="B6" s="32" t="n">
        <v>0.1</v>
      </c>
      <c r="C6" s="33" t="n">
        <f aca="false">0.1*(LTV_TwoYear-LTV_MTM)-100</f>
        <v>99</v>
      </c>
      <c r="D6" s="33" t="n">
        <f aca="false">0.1*(LTV_TwoYear-LTV_MTM)-200</f>
        <v>-1</v>
      </c>
      <c r="E6" s="33" t="n">
        <f aca="false">0.1*(LTV_TwoYear-LTV_MTM)-300</f>
        <v>-101</v>
      </c>
      <c r="F6" s="33" t="n">
        <f aca="false">0.1*(LTV_TwoYear-LTV_MTM)-400</f>
        <v>-201</v>
      </c>
      <c r="G6" s="33" t="n">
        <f aca="false">0.1*(LTV_TwoYear-LTV_MTM)-500</f>
        <v>-301</v>
      </c>
      <c r="H6" s="33" t="n">
        <f aca="false">0.1*(LTV_TwoYear-LTV_MTM)-600</f>
        <v>-401</v>
      </c>
      <c r="I6" s="33" t="n">
        <f aca="false">0.1*(LTV_TwoYear-LTV_MTM)-800</f>
        <v>-601</v>
      </c>
    </row>
    <row r="7" customFormat="false" ht="15" hidden="false" customHeight="false" outlineLevel="0" collapsed="false">
      <c r="B7" s="32" t="n">
        <v>0.15</v>
      </c>
      <c r="C7" s="33" t="n">
        <f aca="false">0.15*(LTV_TwoYear-LTV_MTM)-100</f>
        <v>198.5</v>
      </c>
      <c r="D7" s="33" t="n">
        <f aca="false">0.15*(LTV_TwoYear-LTV_MTM)-200</f>
        <v>98.5</v>
      </c>
      <c r="E7" s="33" t="n">
        <f aca="false">0.15*(LTV_TwoYear-LTV_MTM)-300</f>
        <v>-1.5</v>
      </c>
      <c r="F7" s="33" t="n">
        <f aca="false">0.15*(LTV_TwoYear-LTV_MTM)-400</f>
        <v>-101.5</v>
      </c>
      <c r="G7" s="33" t="n">
        <f aca="false">0.15*(LTV_TwoYear-LTV_MTM)-500</f>
        <v>-201.5</v>
      </c>
      <c r="H7" s="33" t="n">
        <f aca="false">0.15*(LTV_TwoYear-LTV_MTM)-600</f>
        <v>-301.5</v>
      </c>
      <c r="I7" s="33" t="n">
        <f aca="false">0.15*(LTV_TwoYear-LTV_MTM)-800</f>
        <v>-501.5</v>
      </c>
    </row>
    <row r="8" customFormat="false" ht="15" hidden="false" customHeight="false" outlineLevel="0" collapsed="false">
      <c r="B8" s="32" t="n">
        <v>0.2</v>
      </c>
      <c r="C8" s="33" t="n">
        <f aca="false">0.2*(LTV_TwoYear-LTV_MTM)-100</f>
        <v>298</v>
      </c>
      <c r="D8" s="33" t="n">
        <f aca="false">0.2*(LTV_TwoYear-LTV_MTM)-200</f>
        <v>198</v>
      </c>
      <c r="E8" s="33" t="n">
        <f aca="false">0.2*(LTV_TwoYear-LTV_MTM)-300</f>
        <v>98</v>
      </c>
      <c r="F8" s="33" t="n">
        <f aca="false">0.2*(LTV_TwoYear-LTV_MTM)-400</f>
        <v>-2</v>
      </c>
      <c r="G8" s="33" t="n">
        <f aca="false">0.2*(LTV_TwoYear-LTV_MTM)-500</f>
        <v>-102</v>
      </c>
      <c r="H8" s="33" t="n">
        <f aca="false">0.2*(LTV_TwoYear-LTV_MTM)-600</f>
        <v>-202</v>
      </c>
      <c r="I8" s="33" t="n">
        <f aca="false">0.2*(LTV_TwoYear-LTV_MTM)-800</f>
        <v>-402</v>
      </c>
    </row>
    <row r="9" customFormat="false" ht="15" hidden="false" customHeight="false" outlineLevel="0" collapsed="false">
      <c r="B9" s="32" t="n">
        <v>0.25</v>
      </c>
      <c r="C9" s="33" t="n">
        <f aca="false">0.25*(LTV_TwoYear-LTV_MTM)-100</f>
        <v>397.5</v>
      </c>
      <c r="D9" s="33" t="n">
        <f aca="false">0.25*(LTV_TwoYear-LTV_MTM)-200</f>
        <v>297.5</v>
      </c>
      <c r="E9" s="33" t="n">
        <f aca="false">0.25*(LTV_TwoYear-LTV_MTM)-300</f>
        <v>197.5</v>
      </c>
      <c r="F9" s="33" t="n">
        <f aca="false">0.25*(LTV_TwoYear-LTV_MTM)-400</f>
        <v>97.5</v>
      </c>
      <c r="G9" s="33" t="n">
        <f aca="false">0.25*(LTV_TwoYear-LTV_MTM)-500</f>
        <v>-2.5</v>
      </c>
      <c r="H9" s="33" t="n">
        <f aca="false">0.25*(LTV_TwoYear-LTV_MTM)-600</f>
        <v>-102.5</v>
      </c>
      <c r="I9" s="33" t="n">
        <f aca="false">0.25*(LTV_TwoYear-LTV_MTM)-800</f>
        <v>-302.5</v>
      </c>
    </row>
    <row r="10" customFormat="false" ht="15" hidden="false" customHeight="false" outlineLevel="0" collapsed="false">
      <c r="B10" s="32" t="n">
        <v>0.3</v>
      </c>
      <c r="C10" s="33" t="n">
        <f aca="false">0.3*(LTV_TwoYear-LTV_MTM)-100</f>
        <v>497</v>
      </c>
      <c r="D10" s="33" t="n">
        <f aca="false">0.3*(LTV_TwoYear-LTV_MTM)-200</f>
        <v>397</v>
      </c>
      <c r="E10" s="33" t="n">
        <f aca="false">0.3*(LTV_TwoYear-LTV_MTM)-300</f>
        <v>297</v>
      </c>
      <c r="F10" s="33" t="n">
        <f aca="false">0.3*(LTV_TwoYear-LTV_MTM)-400</f>
        <v>197</v>
      </c>
      <c r="G10" s="33" t="n">
        <f aca="false">0.3*(LTV_TwoYear-LTV_MTM)-500</f>
        <v>97</v>
      </c>
      <c r="H10" s="33" t="n">
        <f aca="false">0.3*(LTV_TwoYear-LTV_MTM)-600</f>
        <v>-3</v>
      </c>
      <c r="I10" s="33" t="n">
        <f aca="false">0.3*(LTV_TwoYear-LTV_MTM)-800</f>
        <v>-203</v>
      </c>
    </row>
    <row r="11" customFormat="false" ht="15" hidden="false" customHeight="false" outlineLevel="0" collapsed="false">
      <c r="B11" s="32" t="n">
        <v>0.35</v>
      </c>
      <c r="C11" s="33" t="n">
        <f aca="false">0.35*(LTV_TwoYear-LTV_MTM)-100</f>
        <v>596.5</v>
      </c>
      <c r="D11" s="33" t="n">
        <f aca="false">0.35*(LTV_TwoYear-LTV_MTM)-200</f>
        <v>496.5</v>
      </c>
      <c r="E11" s="33" t="n">
        <f aca="false">0.35*(LTV_TwoYear-LTV_MTM)-300</f>
        <v>396.5</v>
      </c>
      <c r="F11" s="33" t="n">
        <f aca="false">0.35*(LTV_TwoYear-LTV_MTM)-400</f>
        <v>296.5</v>
      </c>
      <c r="G11" s="33" t="n">
        <f aca="false">0.35*(LTV_TwoYear-LTV_MTM)-500</f>
        <v>196.5</v>
      </c>
      <c r="H11" s="33" t="n">
        <f aca="false">0.35*(LTV_TwoYear-LTV_MTM)-600</f>
        <v>96.5</v>
      </c>
      <c r="I11" s="33" t="n">
        <f aca="false">0.35*(LTV_TwoYear-LTV_MTM)-800</f>
        <v>-103.5</v>
      </c>
    </row>
    <row r="12" customFormat="false" ht="15" hidden="false" customHeight="false" outlineLevel="0" collapsed="false">
      <c r="B12" s="32" t="n">
        <v>0.4</v>
      </c>
      <c r="C12" s="33" t="n">
        <f aca="false">0.4*(LTV_TwoYear-LTV_MTM)-100</f>
        <v>696</v>
      </c>
      <c r="D12" s="33" t="n">
        <f aca="false">0.4*(LTV_TwoYear-LTV_MTM)-200</f>
        <v>596</v>
      </c>
      <c r="E12" s="33" t="n">
        <f aca="false">0.4*(LTV_TwoYear-LTV_MTM)-300</f>
        <v>496</v>
      </c>
      <c r="F12" s="33" t="n">
        <f aca="false">0.4*(LTV_TwoYear-LTV_MTM)-400</f>
        <v>396</v>
      </c>
      <c r="G12" s="33" t="n">
        <f aca="false">0.4*(LTV_TwoYear-LTV_MTM)-500</f>
        <v>296</v>
      </c>
      <c r="H12" s="33" t="n">
        <f aca="false">0.4*(LTV_TwoYear-LTV_MTM)-600</f>
        <v>196</v>
      </c>
      <c r="I12" s="33" t="n">
        <f aca="false">0.4*(LTV_TwoYear-LTV_MTM)-800</f>
        <v>-4</v>
      </c>
    </row>
    <row r="14" customFormat="false" ht="15" hidden="false" customHeight="false" outlineLevel="0" collapsed="false">
      <c r="B14" s="10" t="s">
        <v>159</v>
      </c>
    </row>
    <row r="15" customFormat="false" ht="15" hidden="false" customHeight="false" outlineLevel="0" collapsed="false">
      <c r="B15" s="15" t="s">
        <v>160</v>
      </c>
    </row>
    <row r="16" customFormat="false" ht="15" hidden="false" customHeight="false" outlineLevel="0" collapsed="false">
      <c r="B16" s="15" t="s">
        <v>161</v>
      </c>
    </row>
    <row r="17" customFormat="false" ht="15" hidden="false" customHeight="false" outlineLevel="0" collapsed="false">
      <c r="B17" s="15" t="s">
        <v>162</v>
      </c>
    </row>
    <row r="18" customFormat="false" ht="15" hidden="false" customHeight="false" outlineLevel="0" collapsed="false">
      <c r="B18" s="15" t="s">
        <v>163</v>
      </c>
    </row>
  </sheetData>
  <conditionalFormatting sqref="C6:I12">
    <cfRule type="colorScale" priority="2">
      <colorScale>
        <cfvo type="num" val="-200"/>
        <cfvo type="num" val="0"/>
        <cfvo type="num" val="4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17.35" hidden="false" customHeight="false" outlineLevel="0" collapsed="false">
      <c r="B2" s="3" t="s">
        <v>164</v>
      </c>
    </row>
    <row r="4" customFormat="false" ht="15" hidden="false" customHeight="false" outlineLevel="0" collapsed="false">
      <c r="B4" s="34" t="s">
        <v>165</v>
      </c>
      <c r="C4" s="34"/>
      <c r="D4" s="34"/>
      <c r="E4" s="34"/>
      <c r="F4" s="34"/>
    </row>
    <row r="5" customFormat="false" ht="34.5" hidden="false" customHeight="true" outlineLevel="0" collapsed="false">
      <c r="B5" s="35" t="s">
        <v>166</v>
      </c>
      <c r="C5" s="35"/>
      <c r="D5" s="35"/>
      <c r="E5" s="35"/>
      <c r="F5" s="35"/>
    </row>
    <row r="7" customFormat="false" ht="39.75" hidden="false" customHeight="true" outlineLevel="0" collapsed="false">
      <c r="B7" s="36" t="s">
        <v>167</v>
      </c>
      <c r="C7" s="37" t="s">
        <v>168</v>
      </c>
      <c r="D7" s="37"/>
      <c r="E7" s="37"/>
      <c r="F7" s="37"/>
    </row>
    <row r="8" customFormat="false" ht="39.75" hidden="false" customHeight="true" outlineLevel="0" collapsed="false">
      <c r="B8" s="38" t="s">
        <v>169</v>
      </c>
      <c r="C8" s="37" t="s">
        <v>170</v>
      </c>
      <c r="D8" s="37"/>
      <c r="E8" s="37"/>
      <c r="F8" s="37"/>
    </row>
    <row r="9" customFormat="false" ht="39.75" hidden="false" customHeight="true" outlineLevel="0" collapsed="false">
      <c r="B9" s="39" t="s">
        <v>171</v>
      </c>
      <c r="C9" s="37" t="s">
        <v>172</v>
      </c>
      <c r="D9" s="37"/>
      <c r="E9" s="37"/>
      <c r="F9" s="37"/>
    </row>
    <row r="12" customFormat="false" ht="15" hidden="false" customHeight="false" outlineLevel="0" collapsed="false">
      <c r="B12" s="10" t="s">
        <v>173</v>
      </c>
    </row>
    <row r="13" customFormat="false" ht="15" hidden="false" customHeight="false" outlineLevel="0" collapsed="false">
      <c r="B13" s="13" t="s">
        <v>174</v>
      </c>
      <c r="C13" s="13" t="s">
        <v>175</v>
      </c>
      <c r="D13" s="13" t="s">
        <v>176</v>
      </c>
      <c r="E13" s="13" t="s">
        <v>177</v>
      </c>
      <c r="F13" s="13" t="s">
        <v>178</v>
      </c>
    </row>
    <row r="14" customFormat="false" ht="15" hidden="false" customHeight="false" outlineLevel="0" collapsed="false">
      <c r="B14" s="9" t="s">
        <v>179</v>
      </c>
      <c r="C14" s="9" t="s">
        <v>180</v>
      </c>
      <c r="D14" s="9" t="s">
        <v>181</v>
      </c>
      <c r="E14" s="14" t="n">
        <v>1990</v>
      </c>
      <c r="F14" s="14" t="n">
        <v>398000</v>
      </c>
    </row>
    <row r="15" customFormat="false" ht="15" hidden="false" customHeight="false" outlineLevel="0" collapsed="false">
      <c r="B15" s="9" t="s">
        <v>182</v>
      </c>
      <c r="C15" s="9" t="s">
        <v>183</v>
      </c>
      <c r="D15" s="9" t="s">
        <v>184</v>
      </c>
      <c r="E15" s="14" t="n">
        <v>750</v>
      </c>
      <c r="F15" s="14" t="n">
        <v>164813</v>
      </c>
    </row>
    <row r="16" customFormat="false" ht="15" hidden="false" customHeight="false" outlineLevel="0" collapsed="false">
      <c r="B16" s="9" t="s">
        <v>185</v>
      </c>
      <c r="C16" s="9" t="s">
        <v>186</v>
      </c>
      <c r="D16" s="9" t="s">
        <v>187</v>
      </c>
      <c r="E16" s="14" t="n">
        <v>1200</v>
      </c>
      <c r="F16" s="14" t="n">
        <v>347760</v>
      </c>
    </row>
    <row r="17" customFormat="false" ht="15" hidden="false" customHeight="false" outlineLevel="0" collapsed="false">
      <c r="B17" s="9" t="s">
        <v>188</v>
      </c>
      <c r="C17" s="9" t="s">
        <v>189</v>
      </c>
      <c r="D17" s="9" t="s">
        <v>190</v>
      </c>
      <c r="E17" s="14" t="n">
        <v>500</v>
      </c>
      <c r="F17" s="14" t="n">
        <v>59125</v>
      </c>
    </row>
    <row r="18" customFormat="false" ht="15" hidden="false" customHeight="false" outlineLevel="0" collapsed="false">
      <c r="B18" s="27" t="s">
        <v>191</v>
      </c>
      <c r="F18" s="40" t="n">
        <f aca="false">SUM(F14:F17)</f>
        <v>969698</v>
      </c>
    </row>
  </sheetData>
  <mergeCells count="5">
    <mergeCell ref="B4:F4"/>
    <mergeCell ref="B5:F5"/>
    <mergeCell ref="C7:F7"/>
    <mergeCell ref="C8:F8"/>
    <mergeCell ref="C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2026-05-09T19:38:16Z</dcterms:created>
  <dc:creator>openpyxl</dc:creator>
  <dc:description/>
  <dc:language>en-US</dc:language>
  <cp:lastModifiedBy/>
  <dcterms:modified xsi:type="dcterms:W3CDTF">2026-05-09T19:38:16Z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