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CF_Forecast" sheetId="2" state="visible" r:id="rId4"/>
    <sheet name="NPV_Engine" sheetId="3" state="visible" r:id="rId5"/>
    <sheet name="Inputs" sheetId="4" state="visible" r:id="rId6"/>
    <sheet name="Macro_Shocks" sheetId="5" state="visible" r:id="rId7"/>
    <sheet name="Sensitivity" sheetId="6" state="visible" r:id="rId8"/>
    <sheet name="PoD_From_GARCH" sheetId="7" state="visible" r:id="rId9"/>
    <sheet name="Summary" sheetId="8" state="visible" r:id="rId10"/>
  </sheets>
  <definedNames>
    <definedName function="false" hidden="false" name="Active_Demand_Shock" vbProcedure="false">Macro_Shocks!$C$14</definedName>
    <definedName function="false" hidden="false" name="Active_Oil_Mult" vbProcedure="false">Macro_Shocks!$C$15</definedName>
    <definedName function="false" hidden="false" name="Active_WACC" vbProcedure="false">Macro_Shocks!$C$13</definedName>
    <definedName function="false" hidden="false" name="Capex_Total" vbProcedure="false">Inputs!$C$10</definedName>
    <definedName function="false" hidden="false" name="Demand_Shock_Stress" vbProcedure="false">Inputs!$C$22</definedName>
    <definedName function="false" hidden="false" name="Depreciation" vbProcedure="false">Inputs!$C$14</definedName>
    <definedName function="false" hidden="false" name="Energy_Cost_Y0" vbProcedure="false">Inputs!$C$17</definedName>
    <definedName function="false" hidden="false" name="Energy_Share" vbProcedure="false">Inputs!$C$8</definedName>
    <definedName function="false" hidden="false" name="Gross_Margin" vbProcedure="false">Inputs!$C$7</definedName>
    <definedName function="false" hidden="false" name="Labor_Savings_Y0" vbProcedure="false">Inputs!$C$11</definedName>
    <definedName function="false" hidden="false" name="Oil_Multiplier_Det" vbProcedure="false">Inputs!$C$23</definedName>
    <definedName function="false" hidden="false" name="Project_FCF" vbProcedure="false">CF_Forecast!$C$13:$M$13</definedName>
    <definedName function="false" hidden="false" name="Project_Horizon" vbProcedure="false">Inputs!$C$15</definedName>
    <definedName function="false" hidden="false" name="Rate_Shock" vbProcedure="false">Inputs!$C$21</definedName>
    <definedName function="false" hidden="false" name="Revenue_Growth" vbProcedure="false">Inputs!$C$13</definedName>
    <definedName function="false" hidden="false" name="Revenue_Y0" vbProcedure="false">Inputs!$C$6</definedName>
    <definedName function="false" hidden="false" name="Savings_Growth" vbProcedure="false">Inputs!$C$12</definedName>
    <definedName function="false" hidden="false" name="Tax_Rate" vbProcedure="false">Inputs!$C$9</definedName>
    <definedName function="false" hidden="false" name="WACC_Base" vbProcedure="false">Inputs!$C$20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<sst xmlns="http://schemas.openxmlformats.org/spreadsheetml/2006/main" count="192" uniqueCount="165">
  <si>
    <t xml:space="preserve">$150M Automation Stress-Test</t>
  </si>
  <si>
    <t xml:space="preserve">GARCH-Driven Risk Audit | IndustrialCo (generic) anchor | Brent Oil for commodity volatility</t>
  </si>
  <si>
    <t xml:space="preserve">Engagement Brief</t>
  </si>
  <si>
    <t xml:space="preserve">An industrial manufacturing firm is evaluating a $150M automation investment vs continuing with traditional labor. The CFO requires a 10-year outlook that captures non-linear, fat-tailed commodity risk - not just point-estimate sensitivity analysis. We use GARCH(1,1) on 35 years of Brent Oil to quantify input-cost volatility, then run 10,000 Monte Carlo paths to compute Probability of Default with bootstrap confidence intervals.</t>
  </si>
  <si>
    <t xml:space="preserve">Anchor: IndustrialCo (generic)</t>
  </si>
  <si>
    <t xml:space="preserve">Revenue Y0</t>
  </si>
  <si>
    <t xml:space="preserve">$1B</t>
  </si>
  <si>
    <t xml:space="preserve">Gross margin</t>
  </si>
  <si>
    <t xml:space="preserve">60%</t>
  </si>
  <si>
    <t xml:space="preserve">Energy / COGS</t>
  </si>
  <si>
    <t xml:space="preserve">8% (Y0 energy cost = $32M)</t>
  </si>
  <si>
    <t xml:space="preserve">Tax rate</t>
  </si>
  <si>
    <t xml:space="preserve">25%</t>
  </si>
  <si>
    <t xml:space="preserve">Capex</t>
  </si>
  <si>
    <t xml:space="preserve">$150M upfront</t>
  </si>
  <si>
    <t xml:space="preserve">Y1 labor savings</t>
  </si>
  <si>
    <t xml:space="preserve">$28M (growing 2.5%/yr)</t>
  </si>
  <si>
    <t xml:space="preserve">Depreciation</t>
  </si>
  <si>
    <t xml:space="preserve">$15M/yr straight-line × 10 yrs</t>
  </si>
  <si>
    <t xml:space="preserve">Project horizon</t>
  </si>
  <si>
    <t xml:space="preserve">10 years</t>
  </si>
  <si>
    <t xml:space="preserve">GARCH(1,1) Calibration (from Brent 1987-2022)</t>
  </si>
  <si>
    <t xml:space="preserve">Observations</t>
  </si>
  <si>
    <t xml:space="preserve">9,010 daily log-returns</t>
  </si>
  <si>
    <t xml:space="preserve">alpha (ARCH)</t>
  </si>
  <si>
    <t xml:space="preserve">0.0831</t>
  </si>
  <si>
    <t xml:space="preserve">beta (GARCH)</t>
  </si>
  <si>
    <t xml:space="preserve">0.9100</t>
  </si>
  <si>
    <t xml:space="preserve">Persistence</t>
  </si>
  <si>
    <t xml:space="preserve">0.9930 (α+β; near-unit-root)</t>
  </si>
  <si>
    <t xml:space="preserve">Half-life of shock</t>
  </si>
  <si>
    <t xml:space="preserve">99 days</t>
  </si>
  <si>
    <t xml:space="preserve">Long-run vol</t>
  </si>
  <si>
    <t xml:space="preserve">45.8% annualised</t>
  </si>
  <si>
    <t xml:space="preserve">Student-t df</t>
  </si>
  <si>
    <t xml:space="preserve">5.87 (very fat tails)</t>
  </si>
  <si>
    <t xml:space="preserve">How to use this workbook</t>
  </si>
  <si>
    <t xml:space="preserve">1. Inputs</t>
  </si>
  <si>
    <t xml:space="preserve">Edit BLUE cells for project assumptions</t>
  </si>
  <si>
    <t xml:space="preserve">2. Macro_Shocks</t>
  </si>
  <si>
    <t xml:space="preserve">Toggle Active Scenario (1-4); whole model recalculates</t>
  </si>
  <si>
    <t xml:space="preserve">3. CF_Forecast</t>
  </si>
  <si>
    <t xml:space="preserve">10-year indirect-method cash flow</t>
  </si>
  <si>
    <t xml:space="preserve">4. Sensitivity</t>
  </si>
  <si>
    <t xml:space="preserve">2-way data table: NPV by WACC × Demand Shock</t>
  </si>
  <si>
    <t xml:space="preserve">5. PoD_From_GARCH</t>
  </si>
  <si>
    <t xml:space="preserve">Monte Carlo PoD (read-only, from notebook)</t>
  </si>
  <si>
    <t xml:space="preserve">6. Summary</t>
  </si>
  <si>
    <t xml:space="preserve">Executive comparison and recommendation</t>
  </si>
  <si>
    <t xml:space="preserve">10-Year Cash Flow Forecast - Indirect Method</t>
  </si>
  <si>
    <t xml:space="preserve">Incremental cash flow from the automation project. Indirect method: EBIT - Tax + Depreciation Tax Shield + ΔWC. Year 0 = capex outflow.</t>
  </si>
  <si>
    <t xml:space="preserve">Year</t>
  </si>
  <si>
    <t xml:space="preserve">Y0</t>
  </si>
  <si>
    <t xml:space="preserve">Y1</t>
  </si>
  <si>
    <t xml:space="preserve">Y2</t>
  </si>
  <si>
    <t xml:space="preserve">Y3</t>
  </si>
  <si>
    <t xml:space="preserve">Y4</t>
  </si>
  <si>
    <t xml:space="preserve">Y5</t>
  </si>
  <si>
    <t xml:space="preserve">Y6</t>
  </si>
  <si>
    <t xml:space="preserve">Y7</t>
  </si>
  <si>
    <t xml:space="preserve">Y8</t>
  </si>
  <si>
    <t xml:space="preserve">Y9</t>
  </si>
  <si>
    <t xml:space="preserve">Y10</t>
  </si>
  <si>
    <t xml:space="preserve">Labor savings (gross)</t>
  </si>
  <si>
    <t xml:space="preserve">Excess energy cost (oil shock)</t>
  </si>
  <si>
    <t xml:space="preserve">EBIT incremental (× demand)</t>
  </si>
  <si>
    <t xml:space="preserve">Less: Tax @ 25%</t>
  </si>
  <si>
    <t xml:space="preserve">Add: Depreciation tax shield</t>
  </si>
  <si>
    <t xml:space="preserve">Free Cash Flow</t>
  </si>
  <si>
    <t xml:space="preserve">Discount factor</t>
  </si>
  <si>
    <t xml:space="preserve">Discounted FCF</t>
  </si>
  <si>
    <t xml:space="preserve">NPV / IRR Engine - Active Scenario</t>
  </si>
  <si>
    <t xml:space="preserve">Active WACC</t>
  </si>
  <si>
    <t xml:space="preserve">Active Oil Multiplier</t>
  </si>
  <si>
    <t xml:space="preserve">Active Demand Shock</t>
  </si>
  <si>
    <t xml:space="preserve">DECISION METRICS</t>
  </si>
  <si>
    <t xml:space="preserve">NPV</t>
  </si>
  <si>
    <t xml:space="preserve">IRR</t>
  </si>
  <si>
    <t xml:space="preserve">Profitability Index</t>
  </si>
  <si>
    <t xml:space="preserve">Decision (NPV &gt; 0?)</t>
  </si>
  <si>
    <t xml:space="preserve">Project &amp; Macro Inputs</t>
  </si>
  <si>
    <t xml:space="preserve">1. Project Parameters</t>
  </si>
  <si>
    <t xml:space="preserve">Parameter</t>
  </si>
  <si>
    <t xml:space="preserve">Value</t>
  </si>
  <si>
    <t xml:space="preserve">Unit</t>
  </si>
  <si>
    <t xml:space="preserve">Note</t>
  </si>
  <si>
    <t xml:space="preserve">$</t>
  </si>
  <si>
    <t xml:space="preserve">$1B baseline</t>
  </si>
  <si>
    <t xml:space="preserve">%</t>
  </si>
  <si>
    <t xml:space="preserve">Industry typical for industrial</t>
  </si>
  <si>
    <t xml:space="preserve">Energy share of COGS</t>
  </si>
  <si>
    <t xml:space="preserve">Energy-intensive manufacturer</t>
  </si>
  <si>
    <t xml:space="preserve">Effective rate</t>
  </si>
  <si>
    <t xml:space="preserve">Upfront automation investment</t>
  </si>
  <si>
    <t xml:space="preserve">Labor savings Y1</t>
  </si>
  <si>
    <t xml:space="preserve">Year 1 labor cost reduction</t>
  </si>
  <si>
    <t xml:space="preserve">Savings growth</t>
  </si>
  <si>
    <t xml:space="preserve">Annual increase in labor savings</t>
  </si>
  <si>
    <t xml:space="preserve">Revenue growth</t>
  </si>
  <si>
    <t xml:space="preserve">Top-line growth assumption</t>
  </si>
  <si>
    <t xml:space="preserve">Depreciation/yr</t>
  </si>
  <si>
    <t xml:space="preserve">Straight-line over 10 yrs</t>
  </si>
  <si>
    <t xml:space="preserve">yrs</t>
  </si>
  <si>
    <t xml:space="preserve">Standard automation evaluation period</t>
  </si>
  <si>
    <t xml:space="preserve">Derived: Energy cost Y0</t>
  </si>
  <si>
    <t xml:space="preserve">2. Macro Baselines</t>
  </si>
  <si>
    <t xml:space="preserve">Base WACC</t>
  </si>
  <si>
    <t xml:space="preserve">10% baseline cost of capital</t>
  </si>
  <si>
    <t xml:space="preserve">Rate shock (stress)</t>
  </si>
  <si>
    <t xml:space="preserve">pp</t>
  </si>
  <si>
    <t xml:space="preserve">Brief: WACC + 2pp under stress</t>
  </si>
  <si>
    <t xml:space="preserve">Demand shock (stress)</t>
  </si>
  <si>
    <t xml:space="preserve">Brief: -15% under demand shock</t>
  </si>
  <si>
    <t xml:space="preserve">Oil multiplier (deterministic)</t>
  </si>
  <si>
    <t xml:space="preserve">x</t>
  </si>
  <si>
    <t xml:space="preserve">Oil price relative to Y0 (Monte Carlo overrides)</t>
  </si>
  <si>
    <t xml:space="preserve">Macro-Shock Scenario Manager</t>
  </si>
  <si>
    <t xml:space="preserve">Four named scenarios. Toggle ACTIVE SCENARIO (cell C12) to flip the model: 1=Baseline, 2=Rate Shock, 3=Demand Shock, 4=Combined Stress.</t>
  </si>
  <si>
    <t xml:space="preserve">Baseline</t>
  </si>
  <si>
    <t xml:space="preserve">Rate Shock</t>
  </si>
  <si>
    <t xml:space="preserve">Demand Shock</t>
  </si>
  <si>
    <t xml:space="preserve">Combined Stress</t>
  </si>
  <si>
    <t xml:space="preserve">Brief Stress</t>
  </si>
  <si>
    <t xml:space="preserve">WACC</t>
  </si>
  <si>
    <t xml:space="preserve">Oil Multiplier</t>
  </si>
  <si>
    <t xml:space="preserve">ACTIVE SCENARIO:</t>
  </si>
  <si>
    <t xml:space="preserve">(1=Base, 2=Rate, 3=Dem, 4=Combined, 5=Brief)</t>
  </si>
  <si>
    <t xml:space="preserve">Active Oil Mult</t>
  </si>
  <si>
    <t xml:space="preserve">2-Way Sensitivity - NPV by WACC × Demand Shock</t>
  </si>
  <si>
    <t xml:space="preserve">The brief's required 2-way data table. Each cell shows project NPV ($M) computed via formula at that (WACC, Demand) combination. Oil multiplier held at 1.0x for this sheet (deterministic). Use PoD_From_GARCH for Monte Carlo overlay.</t>
  </si>
  <si>
    <t xml:space="preserve">Demand v   |   WACC &gt;</t>
  </si>
  <si>
    <t xml:space="preserve">Cells in $M; deterministic (oil=1.0x)</t>
  </si>
  <si>
    <t xml:space="preserve">Probability of Default (Monte Carlo, GARCH-driven)</t>
  </si>
  <si>
    <t xml:space="preserve">Each cell = share of 10,000 GARCH-driven Monte Carlo paths where NPV&lt;0. Generated by the Python notebook from 35 years of Brent oil. These are READ-ONLY constants here - regenerate by re-running the notebook.</t>
  </si>
  <si>
    <t xml:space="preserve">Demand v | WACC &gt;</t>
  </si>
  <si>
    <t xml:space="preserve">0%</t>
  </si>
  <si>
    <t xml:space="preserve">-5%</t>
  </si>
  <si>
    <t xml:space="preserve">-10%</t>
  </si>
  <si>
    <t xml:space="preserve">-15%</t>
  </si>
  <si>
    <t xml:space="preserve">-20%</t>
  </si>
  <si>
    <t xml:space="preserve">Brief stress (WACC 12%, Dem -15%):</t>
  </si>
  <si>
    <t xml:space="preserve">PoD =</t>
  </si>
  <si>
    <t xml:space="preserve">95% CI:</t>
  </si>
  <si>
    <t xml:space="preserve">[62.58%, 64.58%]</t>
  </si>
  <si>
    <t xml:space="preserve">GARCH Parameters:</t>
  </si>
  <si>
    <t xml:space="preserve">Persistence (α+β)</t>
  </si>
  <si>
    <t xml:space="preserve">Half-life (days)</t>
  </si>
  <si>
    <t xml:space="preserve">Long-run vol (annual)</t>
  </si>
  <si>
    <t xml:space="preserve">Executive Summary - $150M Automation Audit</t>
  </si>
  <si>
    <t xml:space="preserve">Metric</t>
  </si>
  <si>
    <t xml:space="preserve">Demand shock</t>
  </si>
  <si>
    <t xml:space="preserve">NPV ($M, deterministic)</t>
  </si>
  <si>
    <t xml:space="preserve">P(NPV&lt;0) - Monte Carlo</t>
  </si>
  <si>
    <t xml:space="preserve">95% CI low</t>
  </si>
  <si>
    <t xml:space="preserve">95% CI high</t>
  </si>
  <si>
    <t xml:space="preserve">Decision</t>
  </si>
  <si>
    <t xml:space="preserve">Recommendation</t>
  </si>
  <si>
    <t xml:space="preserve">Audit's hero finding</t>
  </si>
  <si>
    <t xml:space="preserve">Deterministic analysis says base-case NPV is +$15M (mild ACCEPT) and stress NPV is -$18M (mild REJECT). But GARCH-driven Monte Carlo shows P(NPV&lt;0) = 50% even at base case, rising to 64% at brief's stress. The hidden risk is OIL VOLATILITY, not interest rates.</t>
  </si>
  <si>
    <t xml:space="preserve">Why GARCH was essential</t>
  </si>
  <si>
    <t xml:space="preserve">Brent's persistence is 0.993 (extreme) and Student-t df is 5.87 (very fat tails). The fat-tail downside of energy shocks dominates the upside. Mean Monte Carlo NPV is negative even when median is near zero - asymmetric distribution that point-estimate DCF cannot capture.</t>
  </si>
  <si>
    <t xml:space="preserve">Pre-conditional approval</t>
  </si>
  <si>
    <t xml:space="preserve">Hedge 50%+ of Y1-Y3 energy exposure via oil futures or supply contract before any capital deployment. Phase capex 50%/50% with the second tranche contingent on Y3 commodity-regime check. Re-run audit annually.</t>
  </si>
  <si>
    <t xml:space="preserve">Confidence</t>
  </si>
  <si>
    <t xml:space="preserve">GARCH(1,1) fit on 9,010 daily returns; ARCH-LM stat 1,542 (p≈0); Ljung-Box on squared residuals shows GARCH captured the clustering; PoD 95% CIs ±1pp via 1000 bootstrap resamples.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</si>
</sst>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"/>
    <numFmt numFmtId="166" formatCode="#,##0"/>
    <numFmt numFmtId="167" formatCode="0.0000"/>
    <numFmt numFmtId="168" formatCode="0.00%"/>
    <numFmt numFmtId="169" formatCode="0.00\x"/>
    <numFmt numFmtId="170" formatCode="\+0.00%;\-0.00%"/>
    <numFmt numFmtId="171" formatCode="0.00"/>
    <numFmt numFmtId="172" formatCode="\$#,##0"/>
    <numFmt numFmtId="173" formatCode="0"/>
    <numFmt numFmtId="174" formatCode="0%"/>
    <numFmt numFmtId="175" formatCode="\+0%;\-0%"/>
    <numFmt numFmtId="176" formatCode="\+0.0;\-0.0;0.0"/>
    <numFmt numFmtId="177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00FF"/>
      <name val="Calibri"/>
      <family val="0"/>
      <charset val="1"/>
    </font>
    <font>
      <b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5F5F5"/>
        <bgColor rgb="FFFFFFFF"/>
      </patternFill>
    </fill>
    <fill>
      <patternFill patternType="solid">
        <fgColor rgb="FFE07A1F"/>
        <bgColor rgb="FFFF9900"/>
      </patternFill>
    </fill>
    <fill>
      <patternFill patternType="solid">
        <fgColor rgb="FFFFE699"/>
        <bgColor rgb="FFFFCC99"/>
      </patternFill>
    </fill>
    <fill>
      <patternFill patternType="solid">
        <fgColor rgb="FF2E7D7D"/>
        <bgColor rgb="FF00808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2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0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7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07A1F"/>
      <rgbColor rgb="FF595959"/>
      <rgbColor rgb="FF969696"/>
      <rgbColor rgb="FF1F3864"/>
      <rgbColor rgb="FF2E7D7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80"/>
  </cols>
  <sheetData>
    <row r="2" customFormat="false" ht="21.75" hidden="false" customHeight="true" outlineLevel="0" collapsed="false">
      <c r="B2" s="1" t="s">
        <v>0</v>
      </c>
      <c r="C2" s="1"/>
    </row>
    <row r="3" customFormat="false" ht="21.75" hidden="false" customHeight="true" outlineLevel="0" collapsed="false">
      <c r="B3" s="1"/>
      <c r="C3" s="1"/>
    </row>
    <row r="4" customFormat="false" ht="21.75" hidden="false" customHeight="true" outlineLevel="0" collapsed="false">
      <c r="B4" s="1"/>
      <c r="C4" s="1"/>
    </row>
    <row r="5" customFormat="false" ht="15" hidden="false" customHeight="false" outlineLevel="0" collapsed="false">
      <c r="B5" s="2" t="s">
        <v>1</v>
      </c>
      <c r="C5" s="2"/>
    </row>
    <row r="7" customFormat="false" ht="17.35" hidden="false" customHeight="false" outlineLevel="0" collapsed="false">
      <c r="B7" s="3" t="s">
        <v>2</v>
      </c>
      <c r="C7" s="3"/>
    </row>
    <row r="8" customFormat="false" ht="75" hidden="false" customHeight="true" outlineLevel="0" collapsed="false">
      <c r="B8" s="4" t="s">
        <v>3</v>
      </c>
      <c r="C8" s="4"/>
    </row>
    <row r="10" customFormat="false" ht="17.35" hidden="false" customHeight="false" outlineLevel="0" collapsed="false">
      <c r="B10" s="3" t="s">
        <v>4</v>
      </c>
      <c r="C10" s="3"/>
    </row>
    <row r="11" customFormat="false" ht="15" hidden="false" customHeight="false" outlineLevel="0" collapsed="false">
      <c r="B11" s="5" t="s">
        <v>5</v>
      </c>
      <c r="C11" s="6" t="s">
        <v>6</v>
      </c>
    </row>
    <row r="12" customFormat="false" ht="15" hidden="false" customHeight="false" outlineLevel="0" collapsed="false">
      <c r="B12" s="5" t="s">
        <v>7</v>
      </c>
      <c r="C12" s="6" t="s">
        <v>8</v>
      </c>
    </row>
    <row r="13" customFormat="false" ht="15" hidden="false" customHeight="false" outlineLevel="0" collapsed="false">
      <c r="B13" s="5" t="s">
        <v>9</v>
      </c>
      <c r="C13" s="6" t="s">
        <v>10</v>
      </c>
    </row>
    <row r="14" customFormat="false" ht="15" hidden="false" customHeight="false" outlineLevel="0" collapsed="false">
      <c r="B14" s="5" t="s">
        <v>11</v>
      </c>
      <c r="C14" s="6" t="s">
        <v>12</v>
      </c>
    </row>
    <row r="15" customFormat="false" ht="15" hidden="false" customHeight="false" outlineLevel="0" collapsed="false">
      <c r="B15" s="5" t="s">
        <v>13</v>
      </c>
      <c r="C15" s="6" t="s">
        <v>14</v>
      </c>
    </row>
    <row r="16" customFormat="false" ht="15" hidden="false" customHeight="false" outlineLevel="0" collapsed="false">
      <c r="B16" s="5" t="s">
        <v>15</v>
      </c>
      <c r="C16" s="6" t="s">
        <v>16</v>
      </c>
    </row>
    <row r="17" customFormat="false" ht="15" hidden="false" customHeight="false" outlineLevel="0" collapsed="false">
      <c r="B17" s="5" t="s">
        <v>17</v>
      </c>
      <c r="C17" s="6" t="s">
        <v>18</v>
      </c>
    </row>
    <row r="18" customFormat="false" ht="15" hidden="false" customHeight="false" outlineLevel="0" collapsed="false">
      <c r="B18" s="5" t="s">
        <v>19</v>
      </c>
      <c r="C18" s="6" t="s">
        <v>20</v>
      </c>
    </row>
    <row r="20" customFormat="false" ht="17.35" hidden="false" customHeight="false" outlineLevel="0" collapsed="false">
      <c r="B20" s="3" t="s">
        <v>21</v>
      </c>
      <c r="C20" s="3"/>
    </row>
    <row r="21" customFormat="false" ht="15" hidden="false" customHeight="false" outlineLevel="0" collapsed="false">
      <c r="B21" s="5" t="s">
        <v>22</v>
      </c>
      <c r="C21" s="6" t="s">
        <v>23</v>
      </c>
    </row>
    <row r="22" customFormat="false" ht="15" hidden="false" customHeight="false" outlineLevel="0" collapsed="false">
      <c r="B22" s="5" t="s">
        <v>24</v>
      </c>
      <c r="C22" s="6" t="s">
        <v>25</v>
      </c>
    </row>
    <row r="23" customFormat="false" ht="15" hidden="false" customHeight="false" outlineLevel="0" collapsed="false">
      <c r="B23" s="5" t="s">
        <v>26</v>
      </c>
      <c r="C23" s="6" t="s">
        <v>27</v>
      </c>
    </row>
    <row r="24" customFormat="false" ht="15" hidden="false" customHeight="false" outlineLevel="0" collapsed="false">
      <c r="B24" s="5" t="s">
        <v>28</v>
      </c>
      <c r="C24" s="6" t="s">
        <v>29</v>
      </c>
    </row>
    <row r="25" customFormat="false" ht="15" hidden="false" customHeight="false" outlineLevel="0" collapsed="false">
      <c r="B25" s="5" t="s">
        <v>30</v>
      </c>
      <c r="C25" s="6" t="s">
        <v>31</v>
      </c>
    </row>
    <row r="26" customFormat="false" ht="15" hidden="false" customHeight="false" outlineLevel="0" collapsed="false">
      <c r="B26" s="5" t="s">
        <v>32</v>
      </c>
      <c r="C26" s="6" t="s">
        <v>33</v>
      </c>
    </row>
    <row r="27" customFormat="false" ht="15" hidden="false" customHeight="false" outlineLevel="0" collapsed="false">
      <c r="B27" s="5" t="s">
        <v>34</v>
      </c>
      <c r="C27" s="6" t="s">
        <v>35</v>
      </c>
    </row>
    <row r="29" customFormat="false" ht="17.35" hidden="false" customHeight="false" outlineLevel="0" collapsed="false">
      <c r="B29" s="3" t="s">
        <v>36</v>
      </c>
      <c r="C29" s="3"/>
    </row>
    <row r="30" customFormat="false" ht="15" hidden="false" customHeight="false" outlineLevel="0" collapsed="false">
      <c r="B30" s="5" t="s">
        <v>37</v>
      </c>
      <c r="C30" s="6" t="s">
        <v>38</v>
      </c>
    </row>
    <row r="31" customFormat="false" ht="15" hidden="false" customHeight="false" outlineLevel="0" collapsed="false">
      <c r="B31" s="5" t="s">
        <v>39</v>
      </c>
      <c r="C31" s="6" t="s">
        <v>40</v>
      </c>
    </row>
    <row r="32" customFormat="false" ht="15" hidden="false" customHeight="false" outlineLevel="0" collapsed="false">
      <c r="B32" s="5" t="s">
        <v>41</v>
      </c>
      <c r="C32" s="6" t="s">
        <v>42</v>
      </c>
    </row>
    <row r="33" customFormat="false" ht="15" hidden="false" customHeight="false" outlineLevel="0" collapsed="false">
      <c r="B33" s="5" t="s">
        <v>43</v>
      </c>
      <c r="C33" s="6" t="s">
        <v>44</v>
      </c>
    </row>
    <row r="34" customFormat="false" ht="15" hidden="false" customHeight="false" outlineLevel="0" collapsed="false">
      <c r="B34" s="5" t="s">
        <v>45</v>
      </c>
      <c r="C34" s="6" t="s">
        <v>46</v>
      </c>
    </row>
    <row r="35" customFormat="false" ht="15" hidden="false" customHeight="false" outlineLevel="0" collapsed="false">
      <c r="B35" s="5" t="s">
        <v>47</v>
      </c>
      <c r="C35" s="6" t="s">
        <v>48</v>
      </c>
    </row>
  </sheetData>
  <mergeCells count="7">
    <mergeCell ref="B2:C4"/>
    <mergeCell ref="B5:C5"/>
    <mergeCell ref="B7:C7"/>
    <mergeCell ref="B8:C8"/>
    <mergeCell ref="B10:C10"/>
    <mergeCell ref="B20:C20"/>
    <mergeCell ref="B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13" min="3" style="0" width="13"/>
  </cols>
  <sheetData>
    <row r="2" customFormat="false" ht="30" hidden="false" customHeight="true" outlineLevel="0" collapsed="false">
      <c r="B2" s="7" t="s">
        <v>49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4" customFormat="false" ht="24.75" hidden="false" customHeight="true" outlineLevel="0" collapsed="false">
      <c r="B4" s="8" t="s">
        <v>50</v>
      </c>
      <c r="C4" s="8"/>
      <c r="D4" s="8"/>
      <c r="E4" s="8"/>
      <c r="F4" s="8"/>
      <c r="G4" s="8"/>
      <c r="H4" s="8"/>
      <c r="I4" s="8"/>
      <c r="J4" s="8"/>
      <c r="K4" s="8"/>
      <c r="L4" s="8"/>
      <c r="M4" s="8"/>
    </row>
    <row r="6" customFormat="false" ht="15" hidden="false" customHeight="false" outlineLevel="0" collapsed="false">
      <c r="B6" s="9" t="s">
        <v>51</v>
      </c>
      <c r="C6" s="10" t="s">
        <v>52</v>
      </c>
      <c r="D6" s="10" t="s">
        <v>53</v>
      </c>
      <c r="E6" s="10" t="s">
        <v>54</v>
      </c>
      <c r="F6" s="10" t="s">
        <v>55</v>
      </c>
      <c r="G6" s="10" t="s">
        <v>56</v>
      </c>
      <c r="H6" s="10" t="s">
        <v>57</v>
      </c>
      <c r="I6" s="10" t="s">
        <v>58</v>
      </c>
      <c r="J6" s="10" t="s">
        <v>59</v>
      </c>
      <c r="K6" s="10" t="s">
        <v>60</v>
      </c>
      <c r="L6" s="10" t="s">
        <v>61</v>
      </c>
      <c r="M6" s="10" t="s">
        <v>62</v>
      </c>
    </row>
    <row r="7" customFormat="false" ht="15" hidden="false" customHeight="false" outlineLevel="0" collapsed="false">
      <c r="B7" s="11" t="s">
        <v>13</v>
      </c>
      <c r="C7" s="12" t="n">
        <f aca="false">-Capex_Total</f>
        <v>-150000000</v>
      </c>
      <c r="D7" s="13" t="n">
        <v>0</v>
      </c>
      <c r="E7" s="13" t="n">
        <v>0</v>
      </c>
      <c r="F7" s="13" t="n">
        <v>0</v>
      </c>
      <c r="G7" s="13" t="n">
        <v>0</v>
      </c>
      <c r="H7" s="13" t="n">
        <v>0</v>
      </c>
      <c r="I7" s="13" t="n">
        <v>0</v>
      </c>
      <c r="J7" s="13" t="n">
        <v>0</v>
      </c>
      <c r="K7" s="13" t="n">
        <v>0</v>
      </c>
      <c r="L7" s="13" t="n">
        <v>0</v>
      </c>
      <c r="M7" s="13" t="n">
        <v>0</v>
      </c>
    </row>
    <row r="8" customFormat="false" ht="15" hidden="false" customHeight="false" outlineLevel="0" collapsed="false">
      <c r="B8" s="11" t="s">
        <v>63</v>
      </c>
      <c r="C8" s="14" t="n">
        <v>0</v>
      </c>
      <c r="D8" s="15" t="n">
        <f aca="false">Labor_Savings_Y0*(1+Savings_Growth)^(1-1)</f>
        <v>28000000</v>
      </c>
      <c r="E8" s="15" t="n">
        <f aca="false">Labor_Savings_Y0*(1+Savings_Growth)^(2-1)</f>
        <v>28700000</v>
      </c>
      <c r="F8" s="15" t="n">
        <f aca="false">Labor_Savings_Y0*(1+Savings_Growth)^(3-1)</f>
        <v>29417500</v>
      </c>
      <c r="G8" s="15" t="n">
        <f aca="false">Labor_Savings_Y0*(1+Savings_Growth)^(4-1)</f>
        <v>30152937.5</v>
      </c>
      <c r="H8" s="15" t="n">
        <f aca="false">Labor_Savings_Y0*(1+Savings_Growth)^(5-1)</f>
        <v>30906760.9375</v>
      </c>
      <c r="I8" s="15" t="n">
        <f aca="false">Labor_Savings_Y0*(1+Savings_Growth)^(6-1)</f>
        <v>31679429.9609375</v>
      </c>
      <c r="J8" s="15" t="n">
        <f aca="false">Labor_Savings_Y0*(1+Savings_Growth)^(7-1)</f>
        <v>32471415.7099609</v>
      </c>
      <c r="K8" s="15" t="n">
        <f aca="false">Labor_Savings_Y0*(1+Savings_Growth)^(8-1)</f>
        <v>33283201.1027099</v>
      </c>
      <c r="L8" s="15" t="n">
        <f aca="false">Labor_Savings_Y0*(1+Savings_Growth)^(9-1)</f>
        <v>34115281.1302777</v>
      </c>
      <c r="M8" s="15" t="n">
        <f aca="false">Labor_Savings_Y0*(1+Savings_Growth)^(10-1)</f>
        <v>34968163.1585346</v>
      </c>
    </row>
    <row r="9" customFormat="false" ht="15" hidden="false" customHeight="false" outlineLevel="0" collapsed="false">
      <c r="B9" s="11" t="s">
        <v>64</v>
      </c>
      <c r="C9" s="13" t="n">
        <v>0</v>
      </c>
      <c r="D9" s="16" t="n">
        <f aca="false">-(Active_Oil_Mult-1)*Energy_Cost_Y0*(1+Revenue_Growth)^(1-1)</f>
        <v>-0</v>
      </c>
      <c r="E9" s="16" t="n">
        <f aca="false">-(Active_Oil_Mult-1)*Energy_Cost_Y0*(1+Revenue_Growth)^(2-1)</f>
        <v>-0</v>
      </c>
      <c r="F9" s="16" t="n">
        <f aca="false">-(Active_Oil_Mult-1)*Energy_Cost_Y0*(1+Revenue_Growth)^(3-1)</f>
        <v>-0</v>
      </c>
      <c r="G9" s="16" t="n">
        <f aca="false">-(Active_Oil_Mult-1)*Energy_Cost_Y0*(1+Revenue_Growth)^(4-1)</f>
        <v>-0</v>
      </c>
      <c r="H9" s="16" t="n">
        <f aca="false">-(Active_Oil_Mult-1)*Energy_Cost_Y0*(1+Revenue_Growth)^(5-1)</f>
        <v>-0</v>
      </c>
      <c r="I9" s="16" t="n">
        <f aca="false">-(Active_Oil_Mult-1)*Energy_Cost_Y0*(1+Revenue_Growth)^(6-1)</f>
        <v>-0</v>
      </c>
      <c r="J9" s="16" t="n">
        <f aca="false">-(Active_Oil_Mult-1)*Energy_Cost_Y0*(1+Revenue_Growth)^(7-1)</f>
        <v>-0</v>
      </c>
      <c r="K9" s="16" t="n">
        <f aca="false">-(Active_Oil_Mult-1)*Energy_Cost_Y0*(1+Revenue_Growth)^(8-1)</f>
        <v>-0</v>
      </c>
      <c r="L9" s="16" t="n">
        <f aca="false">-(Active_Oil_Mult-1)*Energy_Cost_Y0*(1+Revenue_Growth)^(9-1)</f>
        <v>-0</v>
      </c>
      <c r="M9" s="16" t="n">
        <f aca="false">-(Active_Oil_Mult-1)*Energy_Cost_Y0*(1+Revenue_Growth)^(10-1)</f>
        <v>-0</v>
      </c>
    </row>
    <row r="10" customFormat="false" ht="15" hidden="false" customHeight="false" outlineLevel="0" collapsed="false">
      <c r="B10" s="17" t="s">
        <v>65</v>
      </c>
      <c r="C10" s="13" t="n">
        <v>0</v>
      </c>
      <c r="D10" s="16" t="n">
        <f aca="false">(D8+D9)*(1+Active_Demand_Shock)</f>
        <v>28000000</v>
      </c>
      <c r="E10" s="16" t="n">
        <f aca="false">(E8+E9)*(1+Active_Demand_Shock)</f>
        <v>28700000</v>
      </c>
      <c r="F10" s="16" t="n">
        <f aca="false">(F8+F9)*(1+Active_Demand_Shock)</f>
        <v>29417500</v>
      </c>
      <c r="G10" s="16" t="n">
        <f aca="false">(G8+G9)*(1+Active_Demand_Shock)</f>
        <v>30152937.5</v>
      </c>
      <c r="H10" s="16" t="n">
        <f aca="false">(H8+H9)*(1+Active_Demand_Shock)</f>
        <v>30906760.9375</v>
      </c>
      <c r="I10" s="16" t="n">
        <f aca="false">(I8+I9)*(1+Active_Demand_Shock)</f>
        <v>31679429.9609375</v>
      </c>
      <c r="J10" s="16" t="n">
        <f aca="false">(J8+J9)*(1+Active_Demand_Shock)</f>
        <v>32471415.7099609</v>
      </c>
      <c r="K10" s="16" t="n">
        <f aca="false">(K8+K9)*(1+Active_Demand_Shock)</f>
        <v>33283201.1027099</v>
      </c>
      <c r="L10" s="16" t="n">
        <f aca="false">(L8+L9)*(1+Active_Demand_Shock)</f>
        <v>34115281.1302777</v>
      </c>
      <c r="M10" s="16" t="n">
        <f aca="false">(M8+M9)*(1+Active_Demand_Shock)</f>
        <v>34968163.1585346</v>
      </c>
    </row>
    <row r="11" customFormat="false" ht="15" hidden="false" customHeight="false" outlineLevel="0" collapsed="false">
      <c r="B11" s="11" t="s">
        <v>66</v>
      </c>
      <c r="C11" s="18" t="n">
        <v>0</v>
      </c>
      <c r="D11" s="16" t="n">
        <f aca="false">-MAX(D10,0)*Tax_Rate</f>
        <v>-7000000</v>
      </c>
      <c r="E11" s="16" t="n">
        <f aca="false">-MAX(E10,0)*Tax_Rate</f>
        <v>-7175000</v>
      </c>
      <c r="F11" s="16" t="n">
        <f aca="false">-MAX(F10,0)*Tax_Rate</f>
        <v>-7354375</v>
      </c>
      <c r="G11" s="16" t="n">
        <f aca="false">-MAX(G10,0)*Tax_Rate</f>
        <v>-7538234.375</v>
      </c>
      <c r="H11" s="16" t="n">
        <f aca="false">-MAX(H10,0)*Tax_Rate</f>
        <v>-7726690.234375</v>
      </c>
      <c r="I11" s="16" t="n">
        <f aca="false">-MAX(I10,0)*Tax_Rate</f>
        <v>-7919857.49023437</v>
      </c>
      <c r="J11" s="16" t="n">
        <f aca="false">-MAX(J10,0)*Tax_Rate</f>
        <v>-8117853.92749023</v>
      </c>
      <c r="K11" s="16" t="n">
        <f aca="false">-MAX(K10,0)*Tax_Rate</f>
        <v>-8320800.27567749</v>
      </c>
      <c r="L11" s="16" t="n">
        <f aca="false">-MAX(L10,0)*Tax_Rate</f>
        <v>-8528820.28256942</v>
      </c>
      <c r="M11" s="16" t="n">
        <f aca="false">-MAX(M10,0)*Tax_Rate</f>
        <v>-8742040.78963366</v>
      </c>
    </row>
    <row r="12" customFormat="false" ht="15" hidden="false" customHeight="false" outlineLevel="0" collapsed="false">
      <c r="B12" s="11" t="s">
        <v>67</v>
      </c>
      <c r="C12" s="18" t="n">
        <v>0</v>
      </c>
      <c r="D12" s="15" t="n">
        <f aca="false">Depreciation*Tax_Rate</f>
        <v>3750000</v>
      </c>
      <c r="E12" s="15" t="n">
        <f aca="false">Depreciation*Tax_Rate</f>
        <v>3750000</v>
      </c>
      <c r="F12" s="15" t="n">
        <f aca="false">Depreciation*Tax_Rate</f>
        <v>3750000</v>
      </c>
      <c r="G12" s="15" t="n">
        <f aca="false">Depreciation*Tax_Rate</f>
        <v>3750000</v>
      </c>
      <c r="H12" s="15" t="n">
        <f aca="false">Depreciation*Tax_Rate</f>
        <v>3750000</v>
      </c>
      <c r="I12" s="15" t="n">
        <f aca="false">Depreciation*Tax_Rate</f>
        <v>3750000</v>
      </c>
      <c r="J12" s="15" t="n">
        <f aca="false">Depreciation*Tax_Rate</f>
        <v>3750000</v>
      </c>
      <c r="K12" s="15" t="n">
        <f aca="false">Depreciation*Tax_Rate</f>
        <v>3750000</v>
      </c>
      <c r="L12" s="15" t="n">
        <f aca="false">Depreciation*Tax_Rate</f>
        <v>3750000</v>
      </c>
      <c r="M12" s="15" t="n">
        <f aca="false">Depreciation*Tax_Rate</f>
        <v>3750000</v>
      </c>
    </row>
    <row r="13" customFormat="false" ht="15" hidden="false" customHeight="false" outlineLevel="0" collapsed="false">
      <c r="B13" s="19" t="s">
        <v>68</v>
      </c>
      <c r="C13" s="20" t="n">
        <f aca="false">C7</f>
        <v>-150000000</v>
      </c>
      <c r="D13" s="20" t="n">
        <f aca="false">D10+D11+D12</f>
        <v>24750000</v>
      </c>
      <c r="E13" s="20" t="n">
        <f aca="false">E10+E11+E12</f>
        <v>25275000</v>
      </c>
      <c r="F13" s="20" t="n">
        <f aca="false">F10+F11+F12</f>
        <v>25813125</v>
      </c>
      <c r="G13" s="20" t="n">
        <f aca="false">G10+G11+G12</f>
        <v>26364703.125</v>
      </c>
      <c r="H13" s="20" t="n">
        <f aca="false">H10+H11+H12</f>
        <v>26930070.703125</v>
      </c>
      <c r="I13" s="20" t="n">
        <f aca="false">I10+I11+I12</f>
        <v>27509572.4707031</v>
      </c>
      <c r="J13" s="20" t="n">
        <f aca="false">J10+J11+J12</f>
        <v>28103561.7824707</v>
      </c>
      <c r="K13" s="20" t="n">
        <f aca="false">K10+K11+K12</f>
        <v>28712400.8270325</v>
      </c>
      <c r="L13" s="20" t="n">
        <f aca="false">L10+L11+L12</f>
        <v>29336460.8477083</v>
      </c>
      <c r="M13" s="20" t="n">
        <f aca="false">M10+M11+M12</f>
        <v>29976122.368901</v>
      </c>
    </row>
    <row r="14" customFormat="false" ht="15" hidden="false" customHeight="false" outlineLevel="0" collapsed="false">
      <c r="B14" s="11" t="s">
        <v>69</v>
      </c>
      <c r="C14" s="21" t="n">
        <f aca="false">1/(1+Active_WACC)^0</f>
        <v>1</v>
      </c>
      <c r="D14" s="21" t="n">
        <f aca="false">1/(1+Active_WACC)^1</f>
        <v>0.909090909090909</v>
      </c>
      <c r="E14" s="21" t="n">
        <f aca="false">1/(1+Active_WACC)^2</f>
        <v>0.826446280991735</v>
      </c>
      <c r="F14" s="21" t="n">
        <f aca="false">1/(1+Active_WACC)^3</f>
        <v>0.751314800901578</v>
      </c>
      <c r="G14" s="21" t="n">
        <f aca="false">1/(1+Active_WACC)^4</f>
        <v>0.683013455365071</v>
      </c>
      <c r="H14" s="21" t="n">
        <f aca="false">1/(1+Active_WACC)^5</f>
        <v>0.620921323059155</v>
      </c>
      <c r="I14" s="21" t="n">
        <f aca="false">1/(1+Active_WACC)^6</f>
        <v>0.564473930053777</v>
      </c>
      <c r="J14" s="21" t="n">
        <f aca="false">1/(1+Active_WACC)^7</f>
        <v>0.513158118230707</v>
      </c>
      <c r="K14" s="21" t="n">
        <f aca="false">1/(1+Active_WACC)^8</f>
        <v>0.466507380209733</v>
      </c>
      <c r="L14" s="21" t="n">
        <f aca="false">1/(1+Active_WACC)^9</f>
        <v>0.424097618372485</v>
      </c>
      <c r="M14" s="21" t="n">
        <f aca="false">1/(1+Active_WACC)^10</f>
        <v>0.385543289429531</v>
      </c>
    </row>
    <row r="15" customFormat="false" ht="15" hidden="false" customHeight="false" outlineLevel="0" collapsed="false">
      <c r="B15" s="17" t="s">
        <v>70</v>
      </c>
      <c r="C15" s="16" t="n">
        <f aca="false">C13*C14</f>
        <v>-150000000</v>
      </c>
      <c r="D15" s="16" t="n">
        <f aca="false">D13*D14</f>
        <v>22500000</v>
      </c>
      <c r="E15" s="16" t="n">
        <f aca="false">E13*E14</f>
        <v>20888429.7520661</v>
      </c>
      <c r="F15" s="16" t="n">
        <f aca="false">F13*F14</f>
        <v>19393782.8700225</v>
      </c>
      <c r="G15" s="16" t="n">
        <f aca="false">G13*G14</f>
        <v>18007446.9810805</v>
      </c>
      <c r="H15" s="16" t="n">
        <f aca="false">H13*H14</f>
        <v>16721455.131061</v>
      </c>
      <c r="I15" s="16" t="n">
        <f aca="false">I13*I14</f>
        <v>15528436.486637</v>
      </c>
      <c r="J15" s="16" t="n">
        <f aca="false">J13*J14</f>
        <v>14421570.8798731</v>
      </c>
      <c r="K15" s="16" t="n">
        <f aca="false">K13*K14</f>
        <v>13394546.8893507</v>
      </c>
      <c r="L15" s="16" t="n">
        <f aca="false">L13*L14</f>
        <v>12441523.1769907</v>
      </c>
      <c r="M15" s="16" t="n">
        <f aca="false">M13*M14</f>
        <v>11557092.8224482</v>
      </c>
    </row>
  </sheetData>
  <mergeCells count="2">
    <mergeCell ref="B2:M2"/>
    <mergeCell ref="B4:M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</cols>
  <sheetData>
    <row r="2" customFormat="false" ht="30" hidden="false" customHeight="true" outlineLevel="0" collapsed="false">
      <c r="B2" s="7" t="s">
        <v>71</v>
      </c>
      <c r="C2" s="7"/>
    </row>
    <row r="4" customFormat="false" ht="15" hidden="false" customHeight="false" outlineLevel="0" collapsed="false">
      <c r="B4" s="17" t="s">
        <v>72</v>
      </c>
      <c r="C4" s="22" t="n">
        <f aca="false">Active_WACC</f>
        <v>0.1</v>
      </c>
    </row>
    <row r="5" customFormat="false" ht="15" hidden="false" customHeight="false" outlineLevel="0" collapsed="false">
      <c r="B5" s="17" t="s">
        <v>73</v>
      </c>
      <c r="C5" s="23" t="n">
        <f aca="false">Active_Oil_Mult</f>
        <v>1</v>
      </c>
    </row>
    <row r="6" customFormat="false" ht="15" hidden="false" customHeight="false" outlineLevel="0" collapsed="false">
      <c r="B6" s="17" t="s">
        <v>74</v>
      </c>
      <c r="C6" s="24" t="n">
        <f aca="false">Active_Demand_Shock</f>
        <v>0</v>
      </c>
    </row>
    <row r="8" customFormat="false" ht="15" hidden="false" customHeight="false" outlineLevel="0" collapsed="false">
      <c r="B8" s="19" t="s">
        <v>75</v>
      </c>
    </row>
    <row r="9" customFormat="false" ht="15" hidden="false" customHeight="false" outlineLevel="0" collapsed="false">
      <c r="B9" s="17" t="s">
        <v>76</v>
      </c>
      <c r="C9" s="25" t="n">
        <f aca="false">SUM(CF_Forecast!C15:M15)</f>
        <v>14854284.9895298</v>
      </c>
    </row>
    <row r="10" customFormat="false" ht="15" hidden="false" customHeight="false" outlineLevel="0" collapsed="false">
      <c r="B10" s="17" t="s">
        <v>77</v>
      </c>
      <c r="C10" s="26" t="n">
        <f aca="false">IRR(Project_FCF)</f>
        <v>0.12177838179921</v>
      </c>
    </row>
    <row r="11" customFormat="false" ht="15" hidden="false" customHeight="false" outlineLevel="0" collapsed="false">
      <c r="B11" s="17" t="s">
        <v>78</v>
      </c>
      <c r="C11" s="27" t="n">
        <f aca="false">(C9+Capex_Total)/Capex_Total</f>
        <v>1.09902856659687</v>
      </c>
    </row>
    <row r="12" customFormat="false" ht="15" hidden="false" customHeight="false" outlineLevel="0" collapsed="false">
      <c r="B12" s="17" t="s">
        <v>79</v>
      </c>
      <c r="C12" s="28" t="str">
        <f aca="false">IF(C9&gt;0,"ACCEPT","REJECT")</f>
        <v>ACCEPT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50"/>
  </cols>
  <sheetData>
    <row r="2" customFormat="false" ht="30" hidden="false" customHeight="true" outlineLevel="0" collapsed="false">
      <c r="B2" s="7" t="s">
        <v>80</v>
      </c>
      <c r="C2" s="7"/>
      <c r="D2" s="7"/>
      <c r="E2" s="7"/>
    </row>
    <row r="4" customFormat="false" ht="15" hidden="false" customHeight="false" outlineLevel="0" collapsed="false">
      <c r="B4" s="29" t="s">
        <v>81</v>
      </c>
      <c r="C4" s="29"/>
      <c r="D4" s="29"/>
      <c r="E4" s="29"/>
    </row>
    <row r="5" customFormat="false" ht="15" hidden="false" customHeight="false" outlineLevel="0" collapsed="false">
      <c r="B5" s="30" t="s">
        <v>82</v>
      </c>
      <c r="C5" s="30" t="s">
        <v>83</v>
      </c>
      <c r="D5" s="30" t="s">
        <v>84</v>
      </c>
      <c r="E5" s="30" t="s">
        <v>85</v>
      </c>
    </row>
    <row r="6" customFormat="false" ht="15" hidden="false" customHeight="false" outlineLevel="0" collapsed="false">
      <c r="B6" s="11" t="s">
        <v>5</v>
      </c>
      <c r="C6" s="31" t="n">
        <v>1000000000</v>
      </c>
      <c r="D6" s="32" t="s">
        <v>86</v>
      </c>
      <c r="E6" s="32" t="s">
        <v>87</v>
      </c>
    </row>
    <row r="7" customFormat="false" ht="15" hidden="false" customHeight="false" outlineLevel="0" collapsed="false">
      <c r="B7" s="11" t="s">
        <v>7</v>
      </c>
      <c r="C7" s="33" t="n">
        <v>0.6</v>
      </c>
      <c r="D7" s="32" t="s">
        <v>88</v>
      </c>
      <c r="E7" s="32" t="s">
        <v>89</v>
      </c>
    </row>
    <row r="8" customFormat="false" ht="15" hidden="false" customHeight="false" outlineLevel="0" collapsed="false">
      <c r="B8" s="11" t="s">
        <v>90</v>
      </c>
      <c r="C8" s="33" t="n">
        <v>0.08</v>
      </c>
      <c r="D8" s="32" t="s">
        <v>88</v>
      </c>
      <c r="E8" s="32" t="s">
        <v>91</v>
      </c>
    </row>
    <row r="9" customFormat="false" ht="15" hidden="false" customHeight="false" outlineLevel="0" collapsed="false">
      <c r="B9" s="11" t="s">
        <v>11</v>
      </c>
      <c r="C9" s="33" t="n">
        <v>0.25</v>
      </c>
      <c r="D9" s="32" t="s">
        <v>88</v>
      </c>
      <c r="E9" s="32" t="s">
        <v>92</v>
      </c>
    </row>
    <row r="10" customFormat="false" ht="15" hidden="false" customHeight="false" outlineLevel="0" collapsed="false">
      <c r="B10" s="11" t="s">
        <v>13</v>
      </c>
      <c r="C10" s="34" t="n">
        <v>150000000</v>
      </c>
      <c r="D10" s="32" t="s">
        <v>86</v>
      </c>
      <c r="E10" s="32" t="s">
        <v>93</v>
      </c>
    </row>
    <row r="11" customFormat="false" ht="15" hidden="false" customHeight="false" outlineLevel="0" collapsed="false">
      <c r="B11" s="11" t="s">
        <v>94</v>
      </c>
      <c r="C11" s="34" t="n">
        <v>28000000</v>
      </c>
      <c r="D11" s="32" t="s">
        <v>86</v>
      </c>
      <c r="E11" s="32" t="s">
        <v>95</v>
      </c>
    </row>
    <row r="12" customFormat="false" ht="15" hidden="false" customHeight="false" outlineLevel="0" collapsed="false">
      <c r="B12" s="11" t="s">
        <v>96</v>
      </c>
      <c r="C12" s="33" t="n">
        <v>0.025</v>
      </c>
      <c r="D12" s="32" t="s">
        <v>88</v>
      </c>
      <c r="E12" s="32" t="s">
        <v>97</v>
      </c>
    </row>
    <row r="13" customFormat="false" ht="15" hidden="false" customHeight="false" outlineLevel="0" collapsed="false">
      <c r="B13" s="11" t="s">
        <v>98</v>
      </c>
      <c r="C13" s="33" t="n">
        <v>0.03</v>
      </c>
      <c r="D13" s="32" t="s">
        <v>88</v>
      </c>
      <c r="E13" s="32" t="s">
        <v>99</v>
      </c>
    </row>
    <row r="14" customFormat="false" ht="15" hidden="false" customHeight="false" outlineLevel="0" collapsed="false">
      <c r="B14" s="11" t="s">
        <v>100</v>
      </c>
      <c r="C14" s="31" t="n">
        <v>15000000</v>
      </c>
      <c r="D14" s="32" t="s">
        <v>86</v>
      </c>
      <c r="E14" s="32" t="s">
        <v>101</v>
      </c>
    </row>
    <row r="15" customFormat="false" ht="15" hidden="false" customHeight="false" outlineLevel="0" collapsed="false">
      <c r="B15" s="11" t="s">
        <v>19</v>
      </c>
      <c r="C15" s="35" t="n">
        <v>10</v>
      </c>
      <c r="D15" s="32" t="s">
        <v>102</v>
      </c>
      <c r="E15" s="32" t="s">
        <v>103</v>
      </c>
    </row>
    <row r="17" customFormat="false" ht="15" hidden="false" customHeight="false" outlineLevel="0" collapsed="false">
      <c r="B17" s="17" t="s">
        <v>104</v>
      </c>
      <c r="C17" s="36" t="n">
        <f aca="false">Revenue_Y0*(1-Gross_Margin)*Energy_Share</f>
        <v>32000000</v>
      </c>
    </row>
    <row r="19" customFormat="false" ht="15" hidden="false" customHeight="false" outlineLevel="0" collapsed="false">
      <c r="B19" s="29" t="s">
        <v>105</v>
      </c>
      <c r="C19" s="29"/>
      <c r="D19" s="29"/>
      <c r="E19" s="29"/>
    </row>
    <row r="20" customFormat="false" ht="15" hidden="false" customHeight="false" outlineLevel="0" collapsed="false">
      <c r="B20" s="11" t="s">
        <v>106</v>
      </c>
      <c r="C20" s="37" t="n">
        <v>0.1</v>
      </c>
      <c r="D20" s="32" t="s">
        <v>88</v>
      </c>
      <c r="E20" s="32" t="s">
        <v>107</v>
      </c>
    </row>
    <row r="21" customFormat="false" ht="15" hidden="false" customHeight="false" outlineLevel="0" collapsed="false">
      <c r="B21" s="11" t="s">
        <v>108</v>
      </c>
      <c r="C21" s="37" t="n">
        <v>0.02</v>
      </c>
      <c r="D21" s="32" t="s">
        <v>109</v>
      </c>
      <c r="E21" s="32" t="s">
        <v>110</v>
      </c>
    </row>
    <row r="22" customFormat="false" ht="15" hidden="false" customHeight="false" outlineLevel="0" collapsed="false">
      <c r="B22" s="11" t="s">
        <v>111</v>
      </c>
      <c r="C22" s="37" t="n">
        <v>-0.15</v>
      </c>
      <c r="D22" s="32" t="s">
        <v>88</v>
      </c>
      <c r="E22" s="32" t="s">
        <v>112</v>
      </c>
    </row>
    <row r="23" customFormat="false" ht="15" hidden="false" customHeight="false" outlineLevel="0" collapsed="false">
      <c r="B23" s="11" t="s">
        <v>113</v>
      </c>
      <c r="C23" s="38" t="n">
        <v>1</v>
      </c>
      <c r="D23" s="32" t="s">
        <v>114</v>
      </c>
      <c r="E23" s="32" t="s">
        <v>115</v>
      </c>
    </row>
  </sheetData>
  <mergeCells count="3">
    <mergeCell ref="B2:E2"/>
    <mergeCell ref="B4:E4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8"/>
  </cols>
  <sheetData>
    <row r="2" customFormat="false" ht="30" hidden="false" customHeight="true" outlineLevel="0" collapsed="false">
      <c r="B2" s="7" t="s">
        <v>116</v>
      </c>
      <c r="C2" s="7"/>
      <c r="D2" s="7"/>
      <c r="E2" s="7"/>
      <c r="F2" s="7"/>
      <c r="G2" s="7"/>
    </row>
    <row r="4" customFormat="false" ht="18" hidden="false" customHeight="true" outlineLevel="0" collapsed="false">
      <c r="B4" s="39" t="s">
        <v>117</v>
      </c>
      <c r="C4" s="39"/>
      <c r="D4" s="39"/>
      <c r="E4" s="39"/>
      <c r="F4" s="39"/>
      <c r="G4" s="39"/>
    </row>
    <row r="6" customFormat="false" ht="15" hidden="false" customHeight="false" outlineLevel="0" collapsed="false">
      <c r="B6" s="40" t="s">
        <v>82</v>
      </c>
      <c r="C6" s="40" t="s">
        <v>118</v>
      </c>
      <c r="D6" s="40" t="s">
        <v>119</v>
      </c>
      <c r="E6" s="40" t="s">
        <v>120</v>
      </c>
      <c r="F6" s="40" t="s">
        <v>121</v>
      </c>
      <c r="G6" s="40" t="s">
        <v>122</v>
      </c>
    </row>
    <row r="7" customFormat="false" ht="15" hidden="false" customHeight="false" outlineLevel="0" collapsed="false">
      <c r="B7" s="11" t="s">
        <v>123</v>
      </c>
      <c r="C7" s="22" t="n">
        <f aca="false">WACC_Base</f>
        <v>0.1</v>
      </c>
      <c r="D7" s="22" t="n">
        <f aca="false">WACC_Base+Rate_Shock</f>
        <v>0.12</v>
      </c>
      <c r="E7" s="22" t="n">
        <f aca="false">WACC_Base</f>
        <v>0.1</v>
      </c>
      <c r="F7" s="22" t="n">
        <f aca="false">WACC_Base+Rate_Shock</f>
        <v>0.12</v>
      </c>
      <c r="G7" s="22" t="n">
        <f aca="false">WACC_Base+Rate_Shock</f>
        <v>0.12</v>
      </c>
    </row>
    <row r="8" customFormat="false" ht="15" hidden="false" customHeight="false" outlineLevel="0" collapsed="false">
      <c r="B8" s="11" t="s">
        <v>120</v>
      </c>
      <c r="C8" s="41" t="n">
        <v>0</v>
      </c>
      <c r="D8" s="41" t="n">
        <v>0</v>
      </c>
      <c r="E8" s="24" t="n">
        <f aca="false">Demand_Shock_Stress</f>
        <v>-0.15</v>
      </c>
      <c r="F8" s="24" t="n">
        <f aca="false">Demand_Shock_Stress</f>
        <v>-0.15</v>
      </c>
      <c r="G8" s="24" t="n">
        <f aca="false">Demand_Shock_Stress</f>
        <v>-0.15</v>
      </c>
    </row>
    <row r="9" customFormat="false" ht="15" hidden="false" customHeight="false" outlineLevel="0" collapsed="false">
      <c r="B9" s="11" t="s">
        <v>124</v>
      </c>
      <c r="C9" s="42" t="n">
        <v>1</v>
      </c>
      <c r="D9" s="42" t="n">
        <v>1</v>
      </c>
      <c r="E9" s="42" t="n">
        <v>1</v>
      </c>
      <c r="F9" s="42" t="n">
        <v>1.5</v>
      </c>
      <c r="G9" s="42" t="n">
        <v>1</v>
      </c>
    </row>
    <row r="12" customFormat="false" ht="15" hidden="false" customHeight="false" outlineLevel="0" collapsed="false">
      <c r="B12" s="17" t="s">
        <v>125</v>
      </c>
      <c r="C12" s="43" t="n">
        <v>1</v>
      </c>
      <c r="D12" s="32" t="s">
        <v>126</v>
      </c>
    </row>
    <row r="13" customFormat="false" ht="15" hidden="false" customHeight="false" outlineLevel="0" collapsed="false">
      <c r="B13" s="17" t="s">
        <v>72</v>
      </c>
      <c r="C13" s="26" t="n">
        <f aca="false">INDEX(C7:G7, $C$12)</f>
        <v>0.1</v>
      </c>
    </row>
    <row r="14" customFormat="false" ht="15" hidden="false" customHeight="false" outlineLevel="0" collapsed="false">
      <c r="B14" s="17" t="s">
        <v>74</v>
      </c>
      <c r="C14" s="44" t="n">
        <f aca="false">INDEX(C8:G8, $C$12)</f>
        <v>0</v>
      </c>
    </row>
    <row r="15" customFormat="false" ht="15" hidden="false" customHeight="false" outlineLevel="0" collapsed="false">
      <c r="B15" s="17" t="s">
        <v>127</v>
      </c>
      <c r="C15" s="45" t="n">
        <f aca="false">INDEX(C9:G9, $C$12)</f>
        <v>1</v>
      </c>
    </row>
  </sheetData>
  <mergeCells count="2">
    <mergeCell ref="B2:G2"/>
    <mergeCell ref="B4:G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11" min="3" style="0" width="13"/>
  </cols>
  <sheetData>
    <row r="2" customFormat="false" ht="30" hidden="false" customHeight="true" outlineLevel="0" collapsed="false">
      <c r="B2" s="7" t="s">
        <v>128</v>
      </c>
      <c r="C2" s="7"/>
      <c r="D2" s="7"/>
      <c r="E2" s="7"/>
      <c r="F2" s="7"/>
      <c r="G2" s="7"/>
      <c r="H2" s="7"/>
      <c r="I2" s="7"/>
      <c r="J2" s="7"/>
      <c r="K2" s="7"/>
    </row>
    <row r="4" customFormat="false" ht="30" hidden="false" customHeight="true" outlineLevel="0" collapsed="false">
      <c r="B4" s="8" t="s">
        <v>129</v>
      </c>
      <c r="C4" s="8"/>
      <c r="D4" s="8"/>
      <c r="E4" s="8"/>
      <c r="F4" s="8"/>
      <c r="G4" s="8"/>
      <c r="H4" s="8"/>
      <c r="I4" s="8"/>
      <c r="J4" s="8"/>
      <c r="K4" s="8"/>
    </row>
    <row r="6" customFormat="false" ht="15" hidden="false" customHeight="false" outlineLevel="0" collapsed="false">
      <c r="B6" s="46" t="s">
        <v>130</v>
      </c>
      <c r="C6" s="47" t="n">
        <v>0.08</v>
      </c>
      <c r="D6" s="47" t="n">
        <v>0.09</v>
      </c>
      <c r="E6" s="47" t="n">
        <v>0.1</v>
      </c>
      <c r="F6" s="47" t="n">
        <v>0.11</v>
      </c>
      <c r="G6" s="47" t="n">
        <v>0.12</v>
      </c>
      <c r="H6" s="47" t="n">
        <v>0.13</v>
      </c>
      <c r="I6" s="47" t="n">
        <v>0.14</v>
      </c>
    </row>
    <row r="7" customFormat="false" ht="15" hidden="false" customHeight="false" outlineLevel="0" collapsed="false">
      <c r="B7" s="48" t="n">
        <v>0</v>
      </c>
      <c r="C7" s="49" t="n">
        <f aca="false">(-Capex_Total+(Labor_Savings_Y0*(1+Savings_Growth)^(1-1)*(1+$B7)*(1-Tax_Rate)+Depreciation*Tax_Rate)/(1+C$6)^1+(Labor_Savings_Y0*(1+Savings_Growth)^(2-1)*(1+$B7)*(1-Tax_Rate)+Depreciation*Tax_Rate)/(1+C$6)^2+(Labor_Savings_Y0*(1+Savings_Growth)^(3-1)*(1+$B7)*(1-Tax_Rate)+Depreciation*Tax_Rate)/(1+C$6)^3+(Labor_Savings_Y0*(1+Savings_Growth)^(4-1)*(1+$B7)*(1-Tax_Rate)+Depreciation*Tax_Rate)/(1+C$6)^4+(Labor_Savings_Y0*(1+Savings_Growth)^(5-1)*(1+$B7)*(1-Tax_Rate)+Depreciation*Tax_Rate)/(1+C$6)^5+(Labor_Savings_Y0*(1+Savings_Growth)^(6-1)*(1+$B7)*(1-Tax_Rate)+Depreciation*Tax_Rate)/(1+C$6)^6+(Labor_Savings_Y0*(1+Savings_Growth)^(7-1)*(1+$B7)*(1-Tax_Rate)+Depreciation*Tax_Rate)/(1+C$6)^7+(Labor_Savings_Y0*(1+Savings_Growth)^(8-1)*(1+$B7)*(1-Tax_Rate)+Depreciation*Tax_Rate)/(1+C$6)^8+(Labor_Savings_Y0*(1+Savings_Growth)^(9-1)*(1+$B7)*(1-Tax_Rate)+Depreciation*Tax_Rate)/(1+C$6)^9+(Labor_Savings_Y0*(1+Savings_Growth)^(10-1)*(1+$B7)*(1-Tax_Rate)+Depreciation*Tax_Rate)/(1+C$6)^10)/1000000</f>
        <v>30.5907447649086</v>
      </c>
      <c r="D7" s="49" t="n">
        <f aca="false">(-Capex_Total+(Labor_Savings_Y0*(1+Savings_Growth)^(1-1)*(1+$B7)*(1-Tax_Rate)+Depreciation*Tax_Rate)/(1+D$6)^1+(Labor_Savings_Y0*(1+Savings_Growth)^(2-1)*(1+$B7)*(1-Tax_Rate)+Depreciation*Tax_Rate)/(1+D$6)^2+(Labor_Savings_Y0*(1+Savings_Growth)^(3-1)*(1+$B7)*(1-Tax_Rate)+Depreciation*Tax_Rate)/(1+D$6)^3+(Labor_Savings_Y0*(1+Savings_Growth)^(4-1)*(1+$B7)*(1-Tax_Rate)+Depreciation*Tax_Rate)/(1+D$6)^4+(Labor_Savings_Y0*(1+Savings_Growth)^(5-1)*(1+$B7)*(1-Tax_Rate)+Depreciation*Tax_Rate)/(1+D$6)^5+(Labor_Savings_Y0*(1+Savings_Growth)^(6-1)*(1+$B7)*(1-Tax_Rate)+Depreciation*Tax_Rate)/(1+D$6)^6+(Labor_Savings_Y0*(1+Savings_Growth)^(7-1)*(1+$B7)*(1-Tax_Rate)+Depreciation*Tax_Rate)/(1+D$6)^7+(Labor_Savings_Y0*(1+Savings_Growth)^(8-1)*(1+$B7)*(1-Tax_Rate)+Depreciation*Tax_Rate)/(1+D$6)^8+(Labor_Savings_Y0*(1+Savings_Growth)^(9-1)*(1+$B7)*(1-Tax_Rate)+Depreciation*Tax_Rate)/(1+D$6)^9+(Labor_Savings_Y0*(1+Savings_Growth)^(10-1)*(1+$B7)*(1-Tax_Rate)+Depreciation*Tax_Rate)/(1+D$6)^10)/1000000</f>
        <v>22.4484863888482</v>
      </c>
      <c r="E7" s="49" t="n">
        <f aca="false">(-Capex_Total+(Labor_Savings_Y0*(1+Savings_Growth)^(1-1)*(1+$B7)*(1-Tax_Rate)+Depreciation*Tax_Rate)/(1+E$6)^1+(Labor_Savings_Y0*(1+Savings_Growth)^(2-1)*(1+$B7)*(1-Tax_Rate)+Depreciation*Tax_Rate)/(1+E$6)^2+(Labor_Savings_Y0*(1+Savings_Growth)^(3-1)*(1+$B7)*(1-Tax_Rate)+Depreciation*Tax_Rate)/(1+E$6)^3+(Labor_Savings_Y0*(1+Savings_Growth)^(4-1)*(1+$B7)*(1-Tax_Rate)+Depreciation*Tax_Rate)/(1+E$6)^4+(Labor_Savings_Y0*(1+Savings_Growth)^(5-1)*(1+$B7)*(1-Tax_Rate)+Depreciation*Tax_Rate)/(1+E$6)^5+(Labor_Savings_Y0*(1+Savings_Growth)^(6-1)*(1+$B7)*(1-Tax_Rate)+Depreciation*Tax_Rate)/(1+E$6)^6+(Labor_Savings_Y0*(1+Savings_Growth)^(7-1)*(1+$B7)*(1-Tax_Rate)+Depreciation*Tax_Rate)/(1+E$6)^7+(Labor_Savings_Y0*(1+Savings_Growth)^(8-1)*(1+$B7)*(1-Tax_Rate)+Depreciation*Tax_Rate)/(1+E$6)^8+(Labor_Savings_Y0*(1+Savings_Growth)^(9-1)*(1+$B7)*(1-Tax_Rate)+Depreciation*Tax_Rate)/(1+E$6)^9+(Labor_Savings_Y0*(1+Savings_Growth)^(10-1)*(1+$B7)*(1-Tax_Rate)+Depreciation*Tax_Rate)/(1+E$6)^10)/1000000</f>
        <v>14.8542849895298</v>
      </c>
      <c r="F7" s="49" t="n">
        <f aca="false">(-Capex_Total+(Labor_Savings_Y0*(1+Savings_Growth)^(1-1)*(1+$B7)*(1-Tax_Rate)+Depreciation*Tax_Rate)/(1+F$6)^1+(Labor_Savings_Y0*(1+Savings_Growth)^(2-1)*(1+$B7)*(1-Tax_Rate)+Depreciation*Tax_Rate)/(1+F$6)^2+(Labor_Savings_Y0*(1+Savings_Growth)^(3-1)*(1+$B7)*(1-Tax_Rate)+Depreciation*Tax_Rate)/(1+F$6)^3+(Labor_Savings_Y0*(1+Savings_Growth)^(4-1)*(1+$B7)*(1-Tax_Rate)+Depreciation*Tax_Rate)/(1+F$6)^4+(Labor_Savings_Y0*(1+Savings_Growth)^(5-1)*(1+$B7)*(1-Tax_Rate)+Depreciation*Tax_Rate)/(1+F$6)^5+(Labor_Savings_Y0*(1+Savings_Growth)^(6-1)*(1+$B7)*(1-Tax_Rate)+Depreciation*Tax_Rate)/(1+F$6)^6+(Labor_Savings_Y0*(1+Savings_Growth)^(7-1)*(1+$B7)*(1-Tax_Rate)+Depreciation*Tax_Rate)/(1+F$6)^7+(Labor_Savings_Y0*(1+Savings_Growth)^(8-1)*(1+$B7)*(1-Tax_Rate)+Depreciation*Tax_Rate)/(1+F$6)^8+(Labor_Savings_Y0*(1+Savings_Growth)^(9-1)*(1+$B7)*(1-Tax_Rate)+Depreciation*Tax_Rate)/(1+F$6)^9+(Labor_Savings_Y0*(1+Savings_Growth)^(10-1)*(1+$B7)*(1-Tax_Rate)+Depreciation*Tax_Rate)/(1+F$6)^10)/1000000</f>
        <v>7.76292512782695</v>
      </c>
      <c r="G7" s="49" t="n">
        <f aca="false">(-Capex_Total+(Labor_Savings_Y0*(1+Savings_Growth)^(1-1)*(1+$B7)*(1-Tax_Rate)+Depreciation*Tax_Rate)/(1+G$6)^1+(Labor_Savings_Y0*(1+Savings_Growth)^(2-1)*(1+$B7)*(1-Tax_Rate)+Depreciation*Tax_Rate)/(1+G$6)^2+(Labor_Savings_Y0*(1+Savings_Growth)^(3-1)*(1+$B7)*(1-Tax_Rate)+Depreciation*Tax_Rate)/(1+G$6)^3+(Labor_Savings_Y0*(1+Savings_Growth)^(4-1)*(1+$B7)*(1-Tax_Rate)+Depreciation*Tax_Rate)/(1+G$6)^4+(Labor_Savings_Y0*(1+Savings_Growth)^(5-1)*(1+$B7)*(1-Tax_Rate)+Depreciation*Tax_Rate)/(1+G$6)^5+(Labor_Savings_Y0*(1+Savings_Growth)^(6-1)*(1+$B7)*(1-Tax_Rate)+Depreciation*Tax_Rate)/(1+G$6)^6+(Labor_Savings_Y0*(1+Savings_Growth)^(7-1)*(1+$B7)*(1-Tax_Rate)+Depreciation*Tax_Rate)/(1+G$6)^7+(Labor_Savings_Y0*(1+Savings_Growth)^(8-1)*(1+$B7)*(1-Tax_Rate)+Depreciation*Tax_Rate)/(1+G$6)^8+(Labor_Savings_Y0*(1+Savings_Growth)^(9-1)*(1+$B7)*(1-Tax_Rate)+Depreciation*Tax_Rate)/(1+G$6)^9+(Labor_Savings_Y0*(1+Savings_Growth)^(10-1)*(1+$B7)*(1-Tax_Rate)+Depreciation*Tax_Rate)/(1+G$6)^10)/1000000</f>
        <v>1.13347067341245</v>
      </c>
      <c r="H7" s="49" t="n">
        <f aca="false">(-Capex_Total+(Labor_Savings_Y0*(1+Savings_Growth)^(1-1)*(1+$B7)*(1-Tax_Rate)+Depreciation*Tax_Rate)/(1+H$6)^1+(Labor_Savings_Y0*(1+Savings_Growth)^(2-1)*(1+$B7)*(1-Tax_Rate)+Depreciation*Tax_Rate)/(1+H$6)^2+(Labor_Savings_Y0*(1+Savings_Growth)^(3-1)*(1+$B7)*(1-Tax_Rate)+Depreciation*Tax_Rate)/(1+H$6)^3+(Labor_Savings_Y0*(1+Savings_Growth)^(4-1)*(1+$B7)*(1-Tax_Rate)+Depreciation*Tax_Rate)/(1+H$6)^4+(Labor_Savings_Y0*(1+Savings_Growth)^(5-1)*(1+$B7)*(1-Tax_Rate)+Depreciation*Tax_Rate)/(1+H$6)^5+(Labor_Savings_Y0*(1+Savings_Growth)^(6-1)*(1+$B7)*(1-Tax_Rate)+Depreciation*Tax_Rate)/(1+H$6)^6+(Labor_Savings_Y0*(1+Savings_Growth)^(7-1)*(1+$B7)*(1-Tax_Rate)+Depreciation*Tax_Rate)/(1+H$6)^7+(Labor_Savings_Y0*(1+Savings_Growth)^(8-1)*(1+$B7)*(1-Tax_Rate)+Depreciation*Tax_Rate)/(1+H$6)^8+(Labor_Savings_Y0*(1+Savings_Growth)^(9-1)*(1+$B7)*(1-Tax_Rate)+Depreciation*Tax_Rate)/(1+H$6)^9+(Labor_Savings_Y0*(1+Savings_Growth)^(10-1)*(1+$B7)*(1-Tax_Rate)+Depreciation*Tax_Rate)/(1+H$6)^10)/1000000</f>
        <v>-5.07118523249445</v>
      </c>
      <c r="I7" s="49" t="n">
        <f aca="false">(-Capex_Total+(Labor_Savings_Y0*(1+Savings_Growth)^(1-1)*(1+$B7)*(1-Tax_Rate)+Depreciation*Tax_Rate)/(1+I$6)^1+(Labor_Savings_Y0*(1+Savings_Growth)^(2-1)*(1+$B7)*(1-Tax_Rate)+Depreciation*Tax_Rate)/(1+I$6)^2+(Labor_Savings_Y0*(1+Savings_Growth)^(3-1)*(1+$B7)*(1-Tax_Rate)+Depreciation*Tax_Rate)/(1+I$6)^3+(Labor_Savings_Y0*(1+Savings_Growth)^(4-1)*(1+$B7)*(1-Tax_Rate)+Depreciation*Tax_Rate)/(1+I$6)^4+(Labor_Savings_Y0*(1+Savings_Growth)^(5-1)*(1+$B7)*(1-Tax_Rate)+Depreciation*Tax_Rate)/(1+I$6)^5+(Labor_Savings_Y0*(1+Savings_Growth)^(6-1)*(1+$B7)*(1-Tax_Rate)+Depreciation*Tax_Rate)/(1+I$6)^6+(Labor_Savings_Y0*(1+Savings_Growth)^(7-1)*(1+$B7)*(1-Tax_Rate)+Depreciation*Tax_Rate)/(1+I$6)^7+(Labor_Savings_Y0*(1+Savings_Growth)^(8-1)*(1+$B7)*(1-Tax_Rate)+Depreciation*Tax_Rate)/(1+I$6)^8+(Labor_Savings_Y0*(1+Savings_Growth)^(9-1)*(1+$B7)*(1-Tax_Rate)+Depreciation*Tax_Rate)/(1+I$6)^9+(Labor_Savings_Y0*(1+Savings_Growth)^(10-1)*(1+$B7)*(1-Tax_Rate)+Depreciation*Tax_Rate)/(1+I$6)^10)/1000000</f>
        <v>-10.8847185926041</v>
      </c>
    </row>
    <row r="8" customFormat="false" ht="15" hidden="false" customHeight="false" outlineLevel="0" collapsed="false">
      <c r="B8" s="48" t="n">
        <v>-0.05</v>
      </c>
      <c r="C8" s="49" t="n">
        <f aca="false">(-Capex_Total+(Labor_Savings_Y0*(1+Savings_Growth)^(1-1)*(1+$B8)*(1-Tax_Rate)+Depreciation*Tax_Rate)/(1+C$6)^1+(Labor_Savings_Y0*(1+Savings_Growth)^(2-1)*(1+$B8)*(1-Tax_Rate)+Depreciation*Tax_Rate)/(1+C$6)^2+(Labor_Savings_Y0*(1+Savings_Growth)^(3-1)*(1+$B8)*(1-Tax_Rate)+Depreciation*Tax_Rate)/(1+C$6)^3+(Labor_Savings_Y0*(1+Savings_Growth)^(4-1)*(1+$B8)*(1-Tax_Rate)+Depreciation*Tax_Rate)/(1+C$6)^4+(Labor_Savings_Y0*(1+Savings_Growth)^(5-1)*(1+$B8)*(1-Tax_Rate)+Depreciation*Tax_Rate)/(1+C$6)^5+(Labor_Savings_Y0*(1+Savings_Growth)^(6-1)*(1+$B8)*(1-Tax_Rate)+Depreciation*Tax_Rate)/(1+C$6)^6+(Labor_Savings_Y0*(1+Savings_Growth)^(7-1)*(1+$B8)*(1-Tax_Rate)+Depreciation*Tax_Rate)/(1+C$6)^7+(Labor_Savings_Y0*(1+Savings_Growth)^(8-1)*(1+$B8)*(1-Tax_Rate)+Depreciation*Tax_Rate)/(1+C$6)^8+(Labor_Savings_Y0*(1+Savings_Growth)^(9-1)*(1+$B8)*(1-Tax_Rate)+Depreciation*Tax_Rate)/(1+C$6)^9+(Labor_Savings_Y0*(1+Savings_Growth)^(10-1)*(1+$B8)*(1-Tax_Rate)+Depreciation*Tax_Rate)/(1+C$6)^10)/1000000</f>
        <v>22.8193477889647</v>
      </c>
      <c r="D8" s="49" t="n">
        <f aca="false">(-Capex_Total+(Labor_Savings_Y0*(1+Savings_Growth)^(1-1)*(1+$B8)*(1-Tax_Rate)+Depreciation*Tax_Rate)/(1+D$6)^1+(Labor_Savings_Y0*(1+Savings_Growth)^(2-1)*(1+$B8)*(1-Tax_Rate)+Depreciation*Tax_Rate)/(1+D$6)^2+(Labor_Savings_Y0*(1+Savings_Growth)^(3-1)*(1+$B8)*(1-Tax_Rate)+Depreciation*Tax_Rate)/(1+D$6)^3+(Labor_Savings_Y0*(1+Savings_Growth)^(4-1)*(1+$B8)*(1-Tax_Rate)+Depreciation*Tax_Rate)/(1+D$6)^4+(Labor_Savings_Y0*(1+Savings_Growth)^(5-1)*(1+$B8)*(1-Tax_Rate)+Depreciation*Tax_Rate)/(1+D$6)^5+(Labor_Savings_Y0*(1+Savings_Growth)^(6-1)*(1+$B8)*(1-Tax_Rate)+Depreciation*Tax_Rate)/(1+D$6)^6+(Labor_Savings_Y0*(1+Savings_Growth)^(7-1)*(1+$B8)*(1-Tax_Rate)+Depreciation*Tax_Rate)/(1+D$6)^7+(Labor_Savings_Y0*(1+Savings_Growth)^(8-1)*(1+$B8)*(1-Tax_Rate)+Depreciation*Tax_Rate)/(1+D$6)^8+(Labor_Savings_Y0*(1+Savings_Growth)^(9-1)*(1+$B8)*(1-Tax_Rate)+Depreciation*Tax_Rate)/(1+D$6)^9+(Labor_Savings_Y0*(1+Savings_Growth)^(10-1)*(1+$B8)*(1-Tax_Rate)+Depreciation*Tax_Rate)/(1+D$6)^10)/1000000</f>
        <v>15.0293728883731</v>
      </c>
      <c r="E8" s="49" t="n">
        <f aca="false">(-Capex_Total+(Labor_Savings_Y0*(1+Savings_Growth)^(1-1)*(1+$B8)*(1-Tax_Rate)+Depreciation*Tax_Rate)/(1+E$6)^1+(Labor_Savings_Y0*(1+Savings_Growth)^(2-1)*(1+$B8)*(1-Tax_Rate)+Depreciation*Tax_Rate)/(1+E$6)^2+(Labor_Savings_Y0*(1+Savings_Growth)^(3-1)*(1+$B8)*(1-Tax_Rate)+Depreciation*Tax_Rate)/(1+E$6)^3+(Labor_Savings_Y0*(1+Savings_Growth)^(4-1)*(1+$B8)*(1-Tax_Rate)+Depreciation*Tax_Rate)/(1+E$6)^4+(Labor_Savings_Y0*(1+Savings_Growth)^(5-1)*(1+$B8)*(1-Tax_Rate)+Depreciation*Tax_Rate)/(1+E$6)^5+(Labor_Savings_Y0*(1+Savings_Growth)^(6-1)*(1+$B8)*(1-Tax_Rate)+Depreciation*Tax_Rate)/(1+E$6)^6+(Labor_Savings_Y0*(1+Savings_Growth)^(7-1)*(1+$B8)*(1-Tax_Rate)+Depreciation*Tax_Rate)/(1+E$6)^7+(Labor_Savings_Y0*(1+Savings_Growth)^(8-1)*(1+$B8)*(1-Tax_Rate)+Depreciation*Tax_Rate)/(1+E$6)^8+(Labor_Savings_Y0*(1+Savings_Growth)^(9-1)*(1+$B8)*(1-Tax_Rate)+Depreciation*Tax_Rate)/(1+E$6)^9+(Labor_Savings_Y0*(1+Savings_Growth)^(10-1)*(1+$B8)*(1-Tax_Rate)+Depreciation*Tax_Rate)/(1+E$6)^10)/1000000</f>
        <v>7.76367707237292</v>
      </c>
      <c r="F8" s="49" t="n">
        <f aca="false">(-Capex_Total+(Labor_Savings_Y0*(1+Savings_Growth)^(1-1)*(1+$B8)*(1-Tax_Rate)+Depreciation*Tax_Rate)/(1+F$6)^1+(Labor_Savings_Y0*(1+Savings_Growth)^(2-1)*(1+$B8)*(1-Tax_Rate)+Depreciation*Tax_Rate)/(1+F$6)^2+(Labor_Savings_Y0*(1+Savings_Growth)^(3-1)*(1+$B8)*(1-Tax_Rate)+Depreciation*Tax_Rate)/(1+F$6)^3+(Labor_Savings_Y0*(1+Savings_Growth)^(4-1)*(1+$B8)*(1-Tax_Rate)+Depreciation*Tax_Rate)/(1+F$6)^4+(Labor_Savings_Y0*(1+Savings_Growth)^(5-1)*(1+$B8)*(1-Tax_Rate)+Depreciation*Tax_Rate)/(1+F$6)^5+(Labor_Savings_Y0*(1+Savings_Growth)^(6-1)*(1+$B8)*(1-Tax_Rate)+Depreciation*Tax_Rate)/(1+F$6)^6+(Labor_Savings_Y0*(1+Savings_Growth)^(7-1)*(1+$B8)*(1-Tax_Rate)+Depreciation*Tax_Rate)/(1+F$6)^7+(Labor_Savings_Y0*(1+Savings_Growth)^(8-1)*(1+$B8)*(1-Tax_Rate)+Depreciation*Tax_Rate)/(1+F$6)^8+(Labor_Savings_Y0*(1+Savings_Growth)^(9-1)*(1+$B8)*(1-Tax_Rate)+Depreciation*Tax_Rate)/(1+F$6)^9+(Labor_Savings_Y0*(1+Savings_Growth)^(10-1)*(1+$B8)*(1-Tax_Rate)+Depreciation*Tax_Rate)/(1+F$6)^10)/1000000</f>
        <v>0.979009873524575</v>
      </c>
      <c r="G8" s="49" t="n">
        <f aca="false">(-Capex_Total+(Labor_Savings_Y0*(1+Savings_Growth)^(1-1)*(1+$B8)*(1-Tax_Rate)+Depreciation*Tax_Rate)/(1+G$6)^1+(Labor_Savings_Y0*(1+Savings_Growth)^(2-1)*(1+$B8)*(1-Tax_Rate)+Depreciation*Tax_Rate)/(1+G$6)^2+(Labor_Savings_Y0*(1+Savings_Growth)^(3-1)*(1+$B8)*(1-Tax_Rate)+Depreciation*Tax_Rate)/(1+G$6)^3+(Labor_Savings_Y0*(1+Savings_Growth)^(4-1)*(1+$B8)*(1-Tax_Rate)+Depreciation*Tax_Rate)/(1+G$6)^4+(Labor_Savings_Y0*(1+Savings_Growth)^(5-1)*(1+$B8)*(1-Tax_Rate)+Depreciation*Tax_Rate)/(1+G$6)^5+(Labor_Savings_Y0*(1+Savings_Growth)^(6-1)*(1+$B8)*(1-Tax_Rate)+Depreciation*Tax_Rate)/(1+G$6)^6+(Labor_Savings_Y0*(1+Savings_Growth)^(7-1)*(1+$B8)*(1-Tax_Rate)+Depreciation*Tax_Rate)/(1+G$6)^7+(Labor_Savings_Y0*(1+Savings_Growth)^(8-1)*(1+$B8)*(1-Tax_Rate)+Depreciation*Tax_Rate)/(1+G$6)^8+(Labor_Savings_Y0*(1+Savings_Growth)^(9-1)*(1+$B8)*(1-Tax_Rate)+Depreciation*Tax_Rate)/(1+G$6)^9+(Labor_Savings_Y0*(1+Savings_Growth)^(10-1)*(1+$B8)*(1-Tax_Rate)+Depreciation*Tax_Rate)/(1+G$6)^10)/1000000</f>
        <v>-5.36378604243113</v>
      </c>
      <c r="H8" s="49" t="n">
        <f aca="false">(-Capex_Total+(Labor_Savings_Y0*(1+Savings_Growth)^(1-1)*(1+$B8)*(1-Tax_Rate)+Depreciation*Tax_Rate)/(1+H$6)^1+(Labor_Savings_Y0*(1+Savings_Growth)^(2-1)*(1+$B8)*(1-Tax_Rate)+Depreciation*Tax_Rate)/(1+H$6)^2+(Labor_Savings_Y0*(1+Savings_Growth)^(3-1)*(1+$B8)*(1-Tax_Rate)+Depreciation*Tax_Rate)/(1+H$6)^3+(Labor_Savings_Y0*(1+Savings_Growth)^(4-1)*(1+$B8)*(1-Tax_Rate)+Depreciation*Tax_Rate)/(1+H$6)^4+(Labor_Savings_Y0*(1+Savings_Growth)^(5-1)*(1+$B8)*(1-Tax_Rate)+Depreciation*Tax_Rate)/(1+H$6)^5+(Labor_Savings_Y0*(1+Savings_Growth)^(6-1)*(1+$B8)*(1-Tax_Rate)+Depreciation*Tax_Rate)/(1+H$6)^6+(Labor_Savings_Y0*(1+Savings_Growth)^(7-1)*(1+$B8)*(1-Tax_Rate)+Depreciation*Tax_Rate)/(1+H$6)^7+(Labor_Savings_Y0*(1+Savings_Growth)^(8-1)*(1+$B8)*(1-Tax_Rate)+Depreciation*Tax_Rate)/(1+H$6)^8+(Labor_Savings_Y0*(1+Savings_Growth)^(9-1)*(1+$B8)*(1-Tax_Rate)+Depreciation*Tax_Rate)/(1+H$6)^9+(Labor_Savings_Y0*(1+Savings_Growth)^(10-1)*(1+$B8)*(1-Tax_Rate)+Depreciation*Tax_Rate)/(1+H$6)^10)/1000000</f>
        <v>-11.3002053191286</v>
      </c>
      <c r="I8" s="49" t="n">
        <f aca="false">(-Capex_Total+(Labor_Savings_Y0*(1+Savings_Growth)^(1-1)*(1+$B8)*(1-Tax_Rate)+Depreciation*Tax_Rate)/(1+I$6)^1+(Labor_Savings_Y0*(1+Savings_Growth)^(2-1)*(1+$B8)*(1-Tax_Rate)+Depreciation*Tax_Rate)/(1+I$6)^2+(Labor_Savings_Y0*(1+Savings_Growth)^(3-1)*(1+$B8)*(1-Tax_Rate)+Depreciation*Tax_Rate)/(1+I$6)^3+(Labor_Savings_Y0*(1+Savings_Growth)^(4-1)*(1+$B8)*(1-Tax_Rate)+Depreciation*Tax_Rate)/(1+I$6)^4+(Labor_Savings_Y0*(1+Savings_Growth)^(5-1)*(1+$B8)*(1-Tax_Rate)+Depreciation*Tax_Rate)/(1+I$6)^5+(Labor_Savings_Y0*(1+Savings_Growth)^(6-1)*(1+$B8)*(1-Tax_Rate)+Depreciation*Tax_Rate)/(1+I$6)^6+(Labor_Savings_Y0*(1+Savings_Growth)^(7-1)*(1+$B8)*(1-Tax_Rate)+Depreciation*Tax_Rate)/(1+I$6)^7+(Labor_Savings_Y0*(1+Savings_Growth)^(8-1)*(1+$B8)*(1-Tax_Rate)+Depreciation*Tax_Rate)/(1+I$6)^8+(Labor_Savings_Y0*(1+Savings_Growth)^(9-1)*(1+$B8)*(1-Tax_Rate)+Depreciation*Tax_Rate)/(1+I$6)^9+(Labor_Savings_Y0*(1+Savings_Growth)^(10-1)*(1+$B8)*(1-Tax_Rate)+Depreciation*Tax_Rate)/(1+I$6)^10)/1000000</f>
        <v>-16.8624609792938</v>
      </c>
    </row>
    <row r="9" customFormat="false" ht="15" hidden="false" customHeight="false" outlineLevel="0" collapsed="false">
      <c r="B9" s="48" t="n">
        <v>-0.1</v>
      </c>
      <c r="C9" s="49" t="n">
        <f aca="false">(-Capex_Total+(Labor_Savings_Y0*(1+Savings_Growth)^(1-1)*(1+$B9)*(1-Tax_Rate)+Depreciation*Tax_Rate)/(1+C$6)^1+(Labor_Savings_Y0*(1+Savings_Growth)^(2-1)*(1+$B9)*(1-Tax_Rate)+Depreciation*Tax_Rate)/(1+C$6)^2+(Labor_Savings_Y0*(1+Savings_Growth)^(3-1)*(1+$B9)*(1-Tax_Rate)+Depreciation*Tax_Rate)/(1+C$6)^3+(Labor_Savings_Y0*(1+Savings_Growth)^(4-1)*(1+$B9)*(1-Tax_Rate)+Depreciation*Tax_Rate)/(1+C$6)^4+(Labor_Savings_Y0*(1+Savings_Growth)^(5-1)*(1+$B9)*(1-Tax_Rate)+Depreciation*Tax_Rate)/(1+C$6)^5+(Labor_Savings_Y0*(1+Savings_Growth)^(6-1)*(1+$B9)*(1-Tax_Rate)+Depreciation*Tax_Rate)/(1+C$6)^6+(Labor_Savings_Y0*(1+Savings_Growth)^(7-1)*(1+$B9)*(1-Tax_Rate)+Depreciation*Tax_Rate)/(1+C$6)^7+(Labor_Savings_Y0*(1+Savings_Growth)^(8-1)*(1+$B9)*(1-Tax_Rate)+Depreciation*Tax_Rate)/(1+C$6)^8+(Labor_Savings_Y0*(1+Savings_Growth)^(9-1)*(1+$B9)*(1-Tax_Rate)+Depreciation*Tax_Rate)/(1+C$6)^9+(Labor_Savings_Y0*(1+Savings_Growth)^(10-1)*(1+$B9)*(1-Tax_Rate)+Depreciation*Tax_Rate)/(1+C$6)^10)/1000000</f>
        <v>15.0479508130208</v>
      </c>
      <c r="D9" s="49" t="n">
        <f aca="false">(-Capex_Total+(Labor_Savings_Y0*(1+Savings_Growth)^(1-1)*(1+$B9)*(1-Tax_Rate)+Depreciation*Tax_Rate)/(1+D$6)^1+(Labor_Savings_Y0*(1+Savings_Growth)^(2-1)*(1+$B9)*(1-Tax_Rate)+Depreciation*Tax_Rate)/(1+D$6)^2+(Labor_Savings_Y0*(1+Savings_Growth)^(3-1)*(1+$B9)*(1-Tax_Rate)+Depreciation*Tax_Rate)/(1+D$6)^3+(Labor_Savings_Y0*(1+Savings_Growth)^(4-1)*(1+$B9)*(1-Tax_Rate)+Depreciation*Tax_Rate)/(1+D$6)^4+(Labor_Savings_Y0*(1+Savings_Growth)^(5-1)*(1+$B9)*(1-Tax_Rate)+Depreciation*Tax_Rate)/(1+D$6)^5+(Labor_Savings_Y0*(1+Savings_Growth)^(6-1)*(1+$B9)*(1-Tax_Rate)+Depreciation*Tax_Rate)/(1+D$6)^6+(Labor_Savings_Y0*(1+Savings_Growth)^(7-1)*(1+$B9)*(1-Tax_Rate)+Depreciation*Tax_Rate)/(1+D$6)^7+(Labor_Savings_Y0*(1+Savings_Growth)^(8-1)*(1+$B9)*(1-Tax_Rate)+Depreciation*Tax_Rate)/(1+D$6)^8+(Labor_Savings_Y0*(1+Savings_Growth)^(9-1)*(1+$B9)*(1-Tax_Rate)+Depreciation*Tax_Rate)/(1+D$6)^9+(Labor_Savings_Y0*(1+Savings_Growth)^(10-1)*(1+$B9)*(1-Tax_Rate)+Depreciation*Tax_Rate)/(1+D$6)^10)/1000000</f>
        <v>7.61025938789806</v>
      </c>
      <c r="E9" s="49" t="n">
        <f aca="false">(-Capex_Total+(Labor_Savings_Y0*(1+Savings_Growth)^(1-1)*(1+$B9)*(1-Tax_Rate)+Depreciation*Tax_Rate)/(1+E$6)^1+(Labor_Savings_Y0*(1+Savings_Growth)^(2-1)*(1+$B9)*(1-Tax_Rate)+Depreciation*Tax_Rate)/(1+E$6)^2+(Labor_Savings_Y0*(1+Savings_Growth)^(3-1)*(1+$B9)*(1-Tax_Rate)+Depreciation*Tax_Rate)/(1+E$6)^3+(Labor_Savings_Y0*(1+Savings_Growth)^(4-1)*(1+$B9)*(1-Tax_Rate)+Depreciation*Tax_Rate)/(1+E$6)^4+(Labor_Savings_Y0*(1+Savings_Growth)^(5-1)*(1+$B9)*(1-Tax_Rate)+Depreciation*Tax_Rate)/(1+E$6)^5+(Labor_Savings_Y0*(1+Savings_Growth)^(6-1)*(1+$B9)*(1-Tax_Rate)+Depreciation*Tax_Rate)/(1+E$6)^6+(Labor_Savings_Y0*(1+Savings_Growth)^(7-1)*(1+$B9)*(1-Tax_Rate)+Depreciation*Tax_Rate)/(1+E$6)^7+(Labor_Savings_Y0*(1+Savings_Growth)^(8-1)*(1+$B9)*(1-Tax_Rate)+Depreciation*Tax_Rate)/(1+E$6)^8+(Labor_Savings_Y0*(1+Savings_Growth)^(9-1)*(1+$B9)*(1-Tax_Rate)+Depreciation*Tax_Rate)/(1+E$6)^9+(Labor_Savings_Y0*(1+Savings_Growth)^(10-1)*(1+$B9)*(1-Tax_Rate)+Depreciation*Tax_Rate)/(1+E$6)^10)/1000000</f>
        <v>0.673069155216079</v>
      </c>
      <c r="F9" s="49" t="n">
        <f aca="false">(-Capex_Total+(Labor_Savings_Y0*(1+Savings_Growth)^(1-1)*(1+$B9)*(1-Tax_Rate)+Depreciation*Tax_Rate)/(1+F$6)^1+(Labor_Savings_Y0*(1+Savings_Growth)^(2-1)*(1+$B9)*(1-Tax_Rate)+Depreciation*Tax_Rate)/(1+F$6)^2+(Labor_Savings_Y0*(1+Savings_Growth)^(3-1)*(1+$B9)*(1-Tax_Rate)+Depreciation*Tax_Rate)/(1+F$6)^3+(Labor_Savings_Y0*(1+Savings_Growth)^(4-1)*(1+$B9)*(1-Tax_Rate)+Depreciation*Tax_Rate)/(1+F$6)^4+(Labor_Savings_Y0*(1+Savings_Growth)^(5-1)*(1+$B9)*(1-Tax_Rate)+Depreciation*Tax_Rate)/(1+F$6)^5+(Labor_Savings_Y0*(1+Savings_Growth)^(6-1)*(1+$B9)*(1-Tax_Rate)+Depreciation*Tax_Rate)/(1+F$6)^6+(Labor_Savings_Y0*(1+Savings_Growth)^(7-1)*(1+$B9)*(1-Tax_Rate)+Depreciation*Tax_Rate)/(1+F$6)^7+(Labor_Savings_Y0*(1+Savings_Growth)^(8-1)*(1+$B9)*(1-Tax_Rate)+Depreciation*Tax_Rate)/(1+F$6)^8+(Labor_Savings_Y0*(1+Savings_Growth)^(9-1)*(1+$B9)*(1-Tax_Rate)+Depreciation*Tax_Rate)/(1+F$6)^9+(Labor_Savings_Y0*(1+Savings_Growth)^(10-1)*(1+$B9)*(1-Tax_Rate)+Depreciation*Tax_Rate)/(1+F$6)^10)/1000000</f>
        <v>-5.80490538077781</v>
      </c>
      <c r="G9" s="49" t="n">
        <f aca="false">(-Capex_Total+(Labor_Savings_Y0*(1+Savings_Growth)^(1-1)*(1+$B9)*(1-Tax_Rate)+Depreciation*Tax_Rate)/(1+G$6)^1+(Labor_Savings_Y0*(1+Savings_Growth)^(2-1)*(1+$B9)*(1-Tax_Rate)+Depreciation*Tax_Rate)/(1+G$6)^2+(Labor_Savings_Y0*(1+Savings_Growth)^(3-1)*(1+$B9)*(1-Tax_Rate)+Depreciation*Tax_Rate)/(1+G$6)^3+(Labor_Savings_Y0*(1+Savings_Growth)^(4-1)*(1+$B9)*(1-Tax_Rate)+Depreciation*Tax_Rate)/(1+G$6)^4+(Labor_Savings_Y0*(1+Savings_Growth)^(5-1)*(1+$B9)*(1-Tax_Rate)+Depreciation*Tax_Rate)/(1+G$6)^5+(Labor_Savings_Y0*(1+Savings_Growth)^(6-1)*(1+$B9)*(1-Tax_Rate)+Depreciation*Tax_Rate)/(1+G$6)^6+(Labor_Savings_Y0*(1+Savings_Growth)^(7-1)*(1+$B9)*(1-Tax_Rate)+Depreciation*Tax_Rate)/(1+G$6)^7+(Labor_Savings_Y0*(1+Savings_Growth)^(8-1)*(1+$B9)*(1-Tax_Rate)+Depreciation*Tax_Rate)/(1+G$6)^8+(Labor_Savings_Y0*(1+Savings_Growth)^(9-1)*(1+$B9)*(1-Tax_Rate)+Depreciation*Tax_Rate)/(1+G$6)^9+(Labor_Savings_Y0*(1+Savings_Growth)^(10-1)*(1+$B9)*(1-Tax_Rate)+Depreciation*Tax_Rate)/(1+G$6)^10)/1000000</f>
        <v>-11.8610427582747</v>
      </c>
      <c r="H9" s="49" t="n">
        <f aca="false">(-Capex_Total+(Labor_Savings_Y0*(1+Savings_Growth)^(1-1)*(1+$B9)*(1-Tax_Rate)+Depreciation*Tax_Rate)/(1+H$6)^1+(Labor_Savings_Y0*(1+Savings_Growth)^(2-1)*(1+$B9)*(1-Tax_Rate)+Depreciation*Tax_Rate)/(1+H$6)^2+(Labor_Savings_Y0*(1+Savings_Growth)^(3-1)*(1+$B9)*(1-Tax_Rate)+Depreciation*Tax_Rate)/(1+H$6)^3+(Labor_Savings_Y0*(1+Savings_Growth)^(4-1)*(1+$B9)*(1-Tax_Rate)+Depreciation*Tax_Rate)/(1+H$6)^4+(Labor_Savings_Y0*(1+Savings_Growth)^(5-1)*(1+$B9)*(1-Tax_Rate)+Depreciation*Tax_Rate)/(1+H$6)^5+(Labor_Savings_Y0*(1+Savings_Growth)^(6-1)*(1+$B9)*(1-Tax_Rate)+Depreciation*Tax_Rate)/(1+H$6)^6+(Labor_Savings_Y0*(1+Savings_Growth)^(7-1)*(1+$B9)*(1-Tax_Rate)+Depreciation*Tax_Rate)/(1+H$6)^7+(Labor_Savings_Y0*(1+Savings_Growth)^(8-1)*(1+$B9)*(1-Tax_Rate)+Depreciation*Tax_Rate)/(1+H$6)^8+(Labor_Savings_Y0*(1+Savings_Growth)^(9-1)*(1+$B9)*(1-Tax_Rate)+Depreciation*Tax_Rate)/(1+H$6)^9+(Labor_Savings_Y0*(1+Savings_Growth)^(10-1)*(1+$B9)*(1-Tax_Rate)+Depreciation*Tax_Rate)/(1+H$6)^10)/1000000</f>
        <v>-17.5292254057627</v>
      </c>
      <c r="I9" s="49" t="n">
        <f aca="false">(-Capex_Total+(Labor_Savings_Y0*(1+Savings_Growth)^(1-1)*(1+$B9)*(1-Tax_Rate)+Depreciation*Tax_Rate)/(1+I$6)^1+(Labor_Savings_Y0*(1+Savings_Growth)^(2-1)*(1+$B9)*(1-Tax_Rate)+Depreciation*Tax_Rate)/(1+I$6)^2+(Labor_Savings_Y0*(1+Savings_Growth)^(3-1)*(1+$B9)*(1-Tax_Rate)+Depreciation*Tax_Rate)/(1+I$6)^3+(Labor_Savings_Y0*(1+Savings_Growth)^(4-1)*(1+$B9)*(1-Tax_Rate)+Depreciation*Tax_Rate)/(1+I$6)^4+(Labor_Savings_Y0*(1+Savings_Growth)^(5-1)*(1+$B9)*(1-Tax_Rate)+Depreciation*Tax_Rate)/(1+I$6)^5+(Labor_Savings_Y0*(1+Savings_Growth)^(6-1)*(1+$B9)*(1-Tax_Rate)+Depreciation*Tax_Rate)/(1+I$6)^6+(Labor_Savings_Y0*(1+Savings_Growth)^(7-1)*(1+$B9)*(1-Tax_Rate)+Depreciation*Tax_Rate)/(1+I$6)^7+(Labor_Savings_Y0*(1+Savings_Growth)^(8-1)*(1+$B9)*(1-Tax_Rate)+Depreciation*Tax_Rate)/(1+I$6)^8+(Labor_Savings_Y0*(1+Savings_Growth)^(9-1)*(1+$B9)*(1-Tax_Rate)+Depreciation*Tax_Rate)/(1+I$6)^9+(Labor_Savings_Y0*(1+Savings_Growth)^(10-1)*(1+$B9)*(1-Tax_Rate)+Depreciation*Tax_Rate)/(1+I$6)^10)/1000000</f>
        <v>-22.8402033659836</v>
      </c>
    </row>
    <row r="10" customFormat="false" ht="15" hidden="false" customHeight="false" outlineLevel="0" collapsed="false">
      <c r="B10" s="48" t="n">
        <v>-0.15</v>
      </c>
      <c r="C10" s="49" t="n">
        <f aca="false">(-Capex_Total+(Labor_Savings_Y0*(1+Savings_Growth)^(1-1)*(1+$B10)*(1-Tax_Rate)+Depreciation*Tax_Rate)/(1+C$6)^1+(Labor_Savings_Y0*(1+Savings_Growth)^(2-1)*(1+$B10)*(1-Tax_Rate)+Depreciation*Tax_Rate)/(1+C$6)^2+(Labor_Savings_Y0*(1+Savings_Growth)^(3-1)*(1+$B10)*(1-Tax_Rate)+Depreciation*Tax_Rate)/(1+C$6)^3+(Labor_Savings_Y0*(1+Savings_Growth)^(4-1)*(1+$B10)*(1-Tax_Rate)+Depreciation*Tax_Rate)/(1+C$6)^4+(Labor_Savings_Y0*(1+Savings_Growth)^(5-1)*(1+$B10)*(1-Tax_Rate)+Depreciation*Tax_Rate)/(1+C$6)^5+(Labor_Savings_Y0*(1+Savings_Growth)^(6-1)*(1+$B10)*(1-Tax_Rate)+Depreciation*Tax_Rate)/(1+C$6)^6+(Labor_Savings_Y0*(1+Savings_Growth)^(7-1)*(1+$B10)*(1-Tax_Rate)+Depreciation*Tax_Rate)/(1+C$6)^7+(Labor_Savings_Y0*(1+Savings_Growth)^(8-1)*(1+$B10)*(1-Tax_Rate)+Depreciation*Tax_Rate)/(1+C$6)^8+(Labor_Savings_Y0*(1+Savings_Growth)^(9-1)*(1+$B10)*(1-Tax_Rate)+Depreciation*Tax_Rate)/(1+C$6)^9+(Labor_Savings_Y0*(1+Savings_Growth)^(10-1)*(1+$B10)*(1-Tax_Rate)+Depreciation*Tax_Rate)/(1+C$6)^10)/1000000</f>
        <v>7.27655383707685</v>
      </c>
      <c r="D10" s="49" t="n">
        <f aca="false">(-Capex_Total+(Labor_Savings_Y0*(1+Savings_Growth)^(1-1)*(1+$B10)*(1-Tax_Rate)+Depreciation*Tax_Rate)/(1+D$6)^1+(Labor_Savings_Y0*(1+Savings_Growth)^(2-1)*(1+$B10)*(1-Tax_Rate)+Depreciation*Tax_Rate)/(1+D$6)^2+(Labor_Savings_Y0*(1+Savings_Growth)^(3-1)*(1+$B10)*(1-Tax_Rate)+Depreciation*Tax_Rate)/(1+D$6)^3+(Labor_Savings_Y0*(1+Savings_Growth)^(4-1)*(1+$B10)*(1-Tax_Rate)+Depreciation*Tax_Rate)/(1+D$6)^4+(Labor_Savings_Y0*(1+Savings_Growth)^(5-1)*(1+$B10)*(1-Tax_Rate)+Depreciation*Tax_Rate)/(1+D$6)^5+(Labor_Savings_Y0*(1+Savings_Growth)^(6-1)*(1+$B10)*(1-Tax_Rate)+Depreciation*Tax_Rate)/(1+D$6)^6+(Labor_Savings_Y0*(1+Savings_Growth)^(7-1)*(1+$B10)*(1-Tax_Rate)+Depreciation*Tax_Rate)/(1+D$6)^7+(Labor_Savings_Y0*(1+Savings_Growth)^(8-1)*(1+$B10)*(1-Tax_Rate)+Depreciation*Tax_Rate)/(1+D$6)^8+(Labor_Savings_Y0*(1+Savings_Growth)^(9-1)*(1+$B10)*(1-Tax_Rate)+Depreciation*Tax_Rate)/(1+D$6)^9+(Labor_Savings_Y0*(1+Savings_Growth)^(10-1)*(1+$B10)*(1-Tax_Rate)+Depreciation*Tax_Rate)/(1+D$6)^10)/1000000</f>
        <v>0.191145887422953</v>
      </c>
      <c r="E10" s="49" t="n">
        <f aca="false">(-Capex_Total+(Labor_Savings_Y0*(1+Savings_Growth)^(1-1)*(1+$B10)*(1-Tax_Rate)+Depreciation*Tax_Rate)/(1+E$6)^1+(Labor_Savings_Y0*(1+Savings_Growth)^(2-1)*(1+$B10)*(1-Tax_Rate)+Depreciation*Tax_Rate)/(1+E$6)^2+(Labor_Savings_Y0*(1+Savings_Growth)^(3-1)*(1+$B10)*(1-Tax_Rate)+Depreciation*Tax_Rate)/(1+E$6)^3+(Labor_Savings_Y0*(1+Savings_Growth)^(4-1)*(1+$B10)*(1-Tax_Rate)+Depreciation*Tax_Rate)/(1+E$6)^4+(Labor_Savings_Y0*(1+Savings_Growth)^(5-1)*(1+$B10)*(1-Tax_Rate)+Depreciation*Tax_Rate)/(1+E$6)^5+(Labor_Savings_Y0*(1+Savings_Growth)^(6-1)*(1+$B10)*(1-Tax_Rate)+Depreciation*Tax_Rate)/(1+E$6)^6+(Labor_Savings_Y0*(1+Savings_Growth)^(7-1)*(1+$B10)*(1-Tax_Rate)+Depreciation*Tax_Rate)/(1+E$6)^7+(Labor_Savings_Y0*(1+Savings_Growth)^(8-1)*(1+$B10)*(1-Tax_Rate)+Depreciation*Tax_Rate)/(1+E$6)^8+(Labor_Savings_Y0*(1+Savings_Growth)^(9-1)*(1+$B10)*(1-Tax_Rate)+Depreciation*Tax_Rate)/(1+E$6)^9+(Labor_Savings_Y0*(1+Savings_Growth)^(10-1)*(1+$B10)*(1-Tax_Rate)+Depreciation*Tax_Rate)/(1+E$6)^10)/1000000</f>
        <v>-6.41753876194081</v>
      </c>
      <c r="F10" s="49" t="n">
        <f aca="false">(-Capex_Total+(Labor_Savings_Y0*(1+Savings_Growth)^(1-1)*(1+$B10)*(1-Tax_Rate)+Depreciation*Tax_Rate)/(1+F$6)^1+(Labor_Savings_Y0*(1+Savings_Growth)^(2-1)*(1+$B10)*(1-Tax_Rate)+Depreciation*Tax_Rate)/(1+F$6)^2+(Labor_Savings_Y0*(1+Savings_Growth)^(3-1)*(1+$B10)*(1-Tax_Rate)+Depreciation*Tax_Rate)/(1+F$6)^3+(Labor_Savings_Y0*(1+Savings_Growth)^(4-1)*(1+$B10)*(1-Tax_Rate)+Depreciation*Tax_Rate)/(1+F$6)^4+(Labor_Savings_Y0*(1+Savings_Growth)^(5-1)*(1+$B10)*(1-Tax_Rate)+Depreciation*Tax_Rate)/(1+F$6)^5+(Labor_Savings_Y0*(1+Savings_Growth)^(6-1)*(1+$B10)*(1-Tax_Rate)+Depreciation*Tax_Rate)/(1+F$6)^6+(Labor_Savings_Y0*(1+Savings_Growth)^(7-1)*(1+$B10)*(1-Tax_Rate)+Depreciation*Tax_Rate)/(1+F$6)^7+(Labor_Savings_Y0*(1+Savings_Growth)^(8-1)*(1+$B10)*(1-Tax_Rate)+Depreciation*Tax_Rate)/(1+F$6)^8+(Labor_Savings_Y0*(1+Savings_Growth)^(9-1)*(1+$B10)*(1-Tax_Rate)+Depreciation*Tax_Rate)/(1+F$6)^9+(Labor_Savings_Y0*(1+Savings_Growth)^(10-1)*(1+$B10)*(1-Tax_Rate)+Depreciation*Tax_Rate)/(1+F$6)^10)/1000000</f>
        <v>-12.5888206350802</v>
      </c>
      <c r="G10" s="49" t="n">
        <f aca="false">(-Capex_Total+(Labor_Savings_Y0*(1+Savings_Growth)^(1-1)*(1+$B10)*(1-Tax_Rate)+Depreciation*Tax_Rate)/(1+G$6)^1+(Labor_Savings_Y0*(1+Savings_Growth)^(2-1)*(1+$B10)*(1-Tax_Rate)+Depreciation*Tax_Rate)/(1+G$6)^2+(Labor_Savings_Y0*(1+Savings_Growth)^(3-1)*(1+$B10)*(1-Tax_Rate)+Depreciation*Tax_Rate)/(1+G$6)^3+(Labor_Savings_Y0*(1+Savings_Growth)^(4-1)*(1+$B10)*(1-Tax_Rate)+Depreciation*Tax_Rate)/(1+G$6)^4+(Labor_Savings_Y0*(1+Savings_Growth)^(5-1)*(1+$B10)*(1-Tax_Rate)+Depreciation*Tax_Rate)/(1+G$6)^5+(Labor_Savings_Y0*(1+Savings_Growth)^(6-1)*(1+$B10)*(1-Tax_Rate)+Depreciation*Tax_Rate)/(1+G$6)^6+(Labor_Savings_Y0*(1+Savings_Growth)^(7-1)*(1+$B10)*(1-Tax_Rate)+Depreciation*Tax_Rate)/(1+G$6)^7+(Labor_Savings_Y0*(1+Savings_Growth)^(8-1)*(1+$B10)*(1-Tax_Rate)+Depreciation*Tax_Rate)/(1+G$6)^8+(Labor_Savings_Y0*(1+Savings_Growth)^(9-1)*(1+$B10)*(1-Tax_Rate)+Depreciation*Tax_Rate)/(1+G$6)^9+(Labor_Savings_Y0*(1+Savings_Growth)^(10-1)*(1+$B10)*(1-Tax_Rate)+Depreciation*Tax_Rate)/(1+G$6)^10)/1000000</f>
        <v>-18.3582994741183</v>
      </c>
      <c r="H10" s="49" t="n">
        <f aca="false">(-Capex_Total+(Labor_Savings_Y0*(1+Savings_Growth)^(1-1)*(1+$B10)*(1-Tax_Rate)+Depreciation*Tax_Rate)/(1+H$6)^1+(Labor_Savings_Y0*(1+Savings_Growth)^(2-1)*(1+$B10)*(1-Tax_Rate)+Depreciation*Tax_Rate)/(1+H$6)^2+(Labor_Savings_Y0*(1+Savings_Growth)^(3-1)*(1+$B10)*(1-Tax_Rate)+Depreciation*Tax_Rate)/(1+H$6)^3+(Labor_Savings_Y0*(1+Savings_Growth)^(4-1)*(1+$B10)*(1-Tax_Rate)+Depreciation*Tax_Rate)/(1+H$6)^4+(Labor_Savings_Y0*(1+Savings_Growth)^(5-1)*(1+$B10)*(1-Tax_Rate)+Depreciation*Tax_Rate)/(1+H$6)^5+(Labor_Savings_Y0*(1+Savings_Growth)^(6-1)*(1+$B10)*(1-Tax_Rate)+Depreciation*Tax_Rate)/(1+H$6)^6+(Labor_Savings_Y0*(1+Savings_Growth)^(7-1)*(1+$B10)*(1-Tax_Rate)+Depreciation*Tax_Rate)/(1+H$6)^7+(Labor_Savings_Y0*(1+Savings_Growth)^(8-1)*(1+$B10)*(1-Tax_Rate)+Depreciation*Tax_Rate)/(1+H$6)^8+(Labor_Savings_Y0*(1+Savings_Growth)^(9-1)*(1+$B10)*(1-Tax_Rate)+Depreciation*Tax_Rate)/(1+H$6)^9+(Labor_Savings_Y0*(1+Savings_Growth)^(10-1)*(1+$B10)*(1-Tax_Rate)+Depreciation*Tax_Rate)/(1+H$6)^10)/1000000</f>
        <v>-23.7582454923968</v>
      </c>
      <c r="I10" s="49" t="n">
        <f aca="false">(-Capex_Total+(Labor_Savings_Y0*(1+Savings_Growth)^(1-1)*(1+$B10)*(1-Tax_Rate)+Depreciation*Tax_Rate)/(1+I$6)^1+(Labor_Savings_Y0*(1+Savings_Growth)^(2-1)*(1+$B10)*(1-Tax_Rate)+Depreciation*Tax_Rate)/(1+I$6)^2+(Labor_Savings_Y0*(1+Savings_Growth)^(3-1)*(1+$B10)*(1-Tax_Rate)+Depreciation*Tax_Rate)/(1+I$6)^3+(Labor_Savings_Y0*(1+Savings_Growth)^(4-1)*(1+$B10)*(1-Tax_Rate)+Depreciation*Tax_Rate)/(1+I$6)^4+(Labor_Savings_Y0*(1+Savings_Growth)^(5-1)*(1+$B10)*(1-Tax_Rate)+Depreciation*Tax_Rate)/(1+I$6)^5+(Labor_Savings_Y0*(1+Savings_Growth)^(6-1)*(1+$B10)*(1-Tax_Rate)+Depreciation*Tax_Rate)/(1+I$6)^6+(Labor_Savings_Y0*(1+Savings_Growth)^(7-1)*(1+$B10)*(1-Tax_Rate)+Depreciation*Tax_Rate)/(1+I$6)^7+(Labor_Savings_Y0*(1+Savings_Growth)^(8-1)*(1+$B10)*(1-Tax_Rate)+Depreciation*Tax_Rate)/(1+I$6)^8+(Labor_Savings_Y0*(1+Savings_Growth)^(9-1)*(1+$B10)*(1-Tax_Rate)+Depreciation*Tax_Rate)/(1+I$6)^9+(Labor_Savings_Y0*(1+Savings_Growth)^(10-1)*(1+$B10)*(1-Tax_Rate)+Depreciation*Tax_Rate)/(1+I$6)^10)/1000000</f>
        <v>-28.8179457526733</v>
      </c>
    </row>
    <row r="11" customFormat="false" ht="15" hidden="false" customHeight="false" outlineLevel="0" collapsed="false">
      <c r="B11" s="48" t="n">
        <v>-0.2</v>
      </c>
      <c r="C11" s="49" t="n">
        <f aca="false">(-Capex_Total+(Labor_Savings_Y0*(1+Savings_Growth)^(1-1)*(1+$B11)*(1-Tax_Rate)+Depreciation*Tax_Rate)/(1+C$6)^1+(Labor_Savings_Y0*(1+Savings_Growth)^(2-1)*(1+$B11)*(1-Tax_Rate)+Depreciation*Tax_Rate)/(1+C$6)^2+(Labor_Savings_Y0*(1+Savings_Growth)^(3-1)*(1+$B11)*(1-Tax_Rate)+Depreciation*Tax_Rate)/(1+C$6)^3+(Labor_Savings_Y0*(1+Savings_Growth)^(4-1)*(1+$B11)*(1-Tax_Rate)+Depreciation*Tax_Rate)/(1+C$6)^4+(Labor_Savings_Y0*(1+Savings_Growth)^(5-1)*(1+$B11)*(1-Tax_Rate)+Depreciation*Tax_Rate)/(1+C$6)^5+(Labor_Savings_Y0*(1+Savings_Growth)^(6-1)*(1+$B11)*(1-Tax_Rate)+Depreciation*Tax_Rate)/(1+C$6)^6+(Labor_Savings_Y0*(1+Savings_Growth)^(7-1)*(1+$B11)*(1-Tax_Rate)+Depreciation*Tax_Rate)/(1+C$6)^7+(Labor_Savings_Y0*(1+Savings_Growth)^(8-1)*(1+$B11)*(1-Tax_Rate)+Depreciation*Tax_Rate)/(1+C$6)^8+(Labor_Savings_Y0*(1+Savings_Growth)^(9-1)*(1+$B11)*(1-Tax_Rate)+Depreciation*Tax_Rate)/(1+C$6)^9+(Labor_Savings_Y0*(1+Savings_Growth)^(10-1)*(1+$B11)*(1-Tax_Rate)+Depreciation*Tax_Rate)/(1+C$6)^10)/1000000</f>
        <v>-0.494843138867037</v>
      </c>
      <c r="D11" s="49" t="n">
        <f aca="false">(-Capex_Total+(Labor_Savings_Y0*(1+Savings_Growth)^(1-1)*(1+$B11)*(1-Tax_Rate)+Depreciation*Tax_Rate)/(1+D$6)^1+(Labor_Savings_Y0*(1+Savings_Growth)^(2-1)*(1+$B11)*(1-Tax_Rate)+Depreciation*Tax_Rate)/(1+D$6)^2+(Labor_Savings_Y0*(1+Savings_Growth)^(3-1)*(1+$B11)*(1-Tax_Rate)+Depreciation*Tax_Rate)/(1+D$6)^3+(Labor_Savings_Y0*(1+Savings_Growth)^(4-1)*(1+$B11)*(1-Tax_Rate)+Depreciation*Tax_Rate)/(1+D$6)^4+(Labor_Savings_Y0*(1+Savings_Growth)^(5-1)*(1+$B11)*(1-Tax_Rate)+Depreciation*Tax_Rate)/(1+D$6)^5+(Labor_Savings_Y0*(1+Savings_Growth)^(6-1)*(1+$B11)*(1-Tax_Rate)+Depreciation*Tax_Rate)/(1+D$6)^6+(Labor_Savings_Y0*(1+Savings_Growth)^(7-1)*(1+$B11)*(1-Tax_Rate)+Depreciation*Tax_Rate)/(1+D$6)^7+(Labor_Savings_Y0*(1+Savings_Growth)^(8-1)*(1+$B11)*(1-Tax_Rate)+Depreciation*Tax_Rate)/(1+D$6)^8+(Labor_Savings_Y0*(1+Savings_Growth)^(9-1)*(1+$B11)*(1-Tax_Rate)+Depreciation*Tax_Rate)/(1+D$6)^9+(Labor_Savings_Y0*(1+Savings_Growth)^(10-1)*(1+$B11)*(1-Tax_Rate)+Depreciation*Tax_Rate)/(1+D$6)^10)/1000000</f>
        <v>-7.22796761305212</v>
      </c>
      <c r="E11" s="49" t="n">
        <f aca="false">(-Capex_Total+(Labor_Savings_Y0*(1+Savings_Growth)^(1-1)*(1+$B11)*(1-Tax_Rate)+Depreciation*Tax_Rate)/(1+E$6)^1+(Labor_Savings_Y0*(1+Savings_Growth)^(2-1)*(1+$B11)*(1-Tax_Rate)+Depreciation*Tax_Rate)/(1+E$6)^2+(Labor_Savings_Y0*(1+Savings_Growth)^(3-1)*(1+$B11)*(1-Tax_Rate)+Depreciation*Tax_Rate)/(1+E$6)^3+(Labor_Savings_Y0*(1+Savings_Growth)^(4-1)*(1+$B11)*(1-Tax_Rate)+Depreciation*Tax_Rate)/(1+E$6)^4+(Labor_Savings_Y0*(1+Savings_Growth)^(5-1)*(1+$B11)*(1-Tax_Rate)+Depreciation*Tax_Rate)/(1+E$6)^5+(Labor_Savings_Y0*(1+Savings_Growth)^(6-1)*(1+$B11)*(1-Tax_Rate)+Depreciation*Tax_Rate)/(1+E$6)^6+(Labor_Savings_Y0*(1+Savings_Growth)^(7-1)*(1+$B11)*(1-Tax_Rate)+Depreciation*Tax_Rate)/(1+E$6)^7+(Labor_Savings_Y0*(1+Savings_Growth)^(8-1)*(1+$B11)*(1-Tax_Rate)+Depreciation*Tax_Rate)/(1+E$6)^8+(Labor_Savings_Y0*(1+Savings_Growth)^(9-1)*(1+$B11)*(1-Tax_Rate)+Depreciation*Tax_Rate)/(1+E$6)^9+(Labor_Savings_Y0*(1+Savings_Growth)^(10-1)*(1+$B11)*(1-Tax_Rate)+Depreciation*Tax_Rate)/(1+E$6)^10)/1000000</f>
        <v>-13.5081466790976</v>
      </c>
      <c r="F11" s="49" t="n">
        <f aca="false">(-Capex_Total+(Labor_Savings_Y0*(1+Savings_Growth)^(1-1)*(1+$B11)*(1-Tax_Rate)+Depreciation*Tax_Rate)/(1+F$6)^1+(Labor_Savings_Y0*(1+Savings_Growth)^(2-1)*(1+$B11)*(1-Tax_Rate)+Depreciation*Tax_Rate)/(1+F$6)^2+(Labor_Savings_Y0*(1+Savings_Growth)^(3-1)*(1+$B11)*(1-Tax_Rate)+Depreciation*Tax_Rate)/(1+F$6)^3+(Labor_Savings_Y0*(1+Savings_Growth)^(4-1)*(1+$B11)*(1-Tax_Rate)+Depreciation*Tax_Rate)/(1+F$6)^4+(Labor_Savings_Y0*(1+Savings_Growth)^(5-1)*(1+$B11)*(1-Tax_Rate)+Depreciation*Tax_Rate)/(1+F$6)^5+(Labor_Savings_Y0*(1+Savings_Growth)^(6-1)*(1+$B11)*(1-Tax_Rate)+Depreciation*Tax_Rate)/(1+F$6)^6+(Labor_Savings_Y0*(1+Savings_Growth)^(7-1)*(1+$B11)*(1-Tax_Rate)+Depreciation*Tax_Rate)/(1+F$6)^7+(Labor_Savings_Y0*(1+Savings_Growth)^(8-1)*(1+$B11)*(1-Tax_Rate)+Depreciation*Tax_Rate)/(1+F$6)^8+(Labor_Savings_Y0*(1+Savings_Growth)^(9-1)*(1+$B11)*(1-Tax_Rate)+Depreciation*Tax_Rate)/(1+F$6)^9+(Labor_Savings_Y0*(1+Savings_Growth)^(10-1)*(1+$B11)*(1-Tax_Rate)+Depreciation*Tax_Rate)/(1+F$6)^10)/1000000</f>
        <v>-19.3727358893825</v>
      </c>
      <c r="G11" s="49" t="n">
        <f aca="false">(-Capex_Total+(Labor_Savings_Y0*(1+Savings_Growth)^(1-1)*(1+$B11)*(1-Tax_Rate)+Depreciation*Tax_Rate)/(1+G$6)^1+(Labor_Savings_Y0*(1+Savings_Growth)^(2-1)*(1+$B11)*(1-Tax_Rate)+Depreciation*Tax_Rate)/(1+G$6)^2+(Labor_Savings_Y0*(1+Savings_Growth)^(3-1)*(1+$B11)*(1-Tax_Rate)+Depreciation*Tax_Rate)/(1+G$6)^3+(Labor_Savings_Y0*(1+Savings_Growth)^(4-1)*(1+$B11)*(1-Tax_Rate)+Depreciation*Tax_Rate)/(1+G$6)^4+(Labor_Savings_Y0*(1+Savings_Growth)^(5-1)*(1+$B11)*(1-Tax_Rate)+Depreciation*Tax_Rate)/(1+G$6)^5+(Labor_Savings_Y0*(1+Savings_Growth)^(6-1)*(1+$B11)*(1-Tax_Rate)+Depreciation*Tax_Rate)/(1+G$6)^6+(Labor_Savings_Y0*(1+Savings_Growth)^(7-1)*(1+$B11)*(1-Tax_Rate)+Depreciation*Tax_Rate)/(1+G$6)^7+(Labor_Savings_Y0*(1+Savings_Growth)^(8-1)*(1+$B11)*(1-Tax_Rate)+Depreciation*Tax_Rate)/(1+G$6)^8+(Labor_Savings_Y0*(1+Savings_Growth)^(9-1)*(1+$B11)*(1-Tax_Rate)+Depreciation*Tax_Rate)/(1+G$6)^9+(Labor_Savings_Y0*(1+Savings_Growth)^(10-1)*(1+$B11)*(1-Tax_Rate)+Depreciation*Tax_Rate)/(1+G$6)^10)/1000000</f>
        <v>-24.8555561899619</v>
      </c>
      <c r="H11" s="49" t="n">
        <f aca="false">(-Capex_Total+(Labor_Savings_Y0*(1+Savings_Growth)^(1-1)*(1+$B11)*(1-Tax_Rate)+Depreciation*Tax_Rate)/(1+H$6)^1+(Labor_Savings_Y0*(1+Savings_Growth)^(2-1)*(1+$B11)*(1-Tax_Rate)+Depreciation*Tax_Rate)/(1+H$6)^2+(Labor_Savings_Y0*(1+Savings_Growth)^(3-1)*(1+$B11)*(1-Tax_Rate)+Depreciation*Tax_Rate)/(1+H$6)^3+(Labor_Savings_Y0*(1+Savings_Growth)^(4-1)*(1+$B11)*(1-Tax_Rate)+Depreciation*Tax_Rate)/(1+H$6)^4+(Labor_Savings_Y0*(1+Savings_Growth)^(5-1)*(1+$B11)*(1-Tax_Rate)+Depreciation*Tax_Rate)/(1+H$6)^5+(Labor_Savings_Y0*(1+Savings_Growth)^(6-1)*(1+$B11)*(1-Tax_Rate)+Depreciation*Tax_Rate)/(1+H$6)^6+(Labor_Savings_Y0*(1+Savings_Growth)^(7-1)*(1+$B11)*(1-Tax_Rate)+Depreciation*Tax_Rate)/(1+H$6)^7+(Labor_Savings_Y0*(1+Savings_Growth)^(8-1)*(1+$B11)*(1-Tax_Rate)+Depreciation*Tax_Rate)/(1+H$6)^8+(Labor_Savings_Y0*(1+Savings_Growth)^(9-1)*(1+$B11)*(1-Tax_Rate)+Depreciation*Tax_Rate)/(1+H$6)^9+(Labor_Savings_Y0*(1+Savings_Growth)^(10-1)*(1+$B11)*(1-Tax_Rate)+Depreciation*Tax_Rate)/(1+H$6)^10)/1000000</f>
        <v>-29.9872655790309</v>
      </c>
      <c r="I11" s="49" t="n">
        <f aca="false">(-Capex_Total+(Labor_Savings_Y0*(1+Savings_Growth)^(1-1)*(1+$B11)*(1-Tax_Rate)+Depreciation*Tax_Rate)/(1+I$6)^1+(Labor_Savings_Y0*(1+Savings_Growth)^(2-1)*(1+$B11)*(1-Tax_Rate)+Depreciation*Tax_Rate)/(1+I$6)^2+(Labor_Savings_Y0*(1+Savings_Growth)^(3-1)*(1+$B11)*(1-Tax_Rate)+Depreciation*Tax_Rate)/(1+I$6)^3+(Labor_Savings_Y0*(1+Savings_Growth)^(4-1)*(1+$B11)*(1-Tax_Rate)+Depreciation*Tax_Rate)/(1+I$6)^4+(Labor_Savings_Y0*(1+Savings_Growth)^(5-1)*(1+$B11)*(1-Tax_Rate)+Depreciation*Tax_Rate)/(1+I$6)^5+(Labor_Savings_Y0*(1+Savings_Growth)^(6-1)*(1+$B11)*(1-Tax_Rate)+Depreciation*Tax_Rate)/(1+I$6)^6+(Labor_Savings_Y0*(1+Savings_Growth)^(7-1)*(1+$B11)*(1-Tax_Rate)+Depreciation*Tax_Rate)/(1+I$6)^7+(Labor_Savings_Y0*(1+Savings_Growth)^(8-1)*(1+$B11)*(1-Tax_Rate)+Depreciation*Tax_Rate)/(1+I$6)^8+(Labor_Savings_Y0*(1+Savings_Growth)^(9-1)*(1+$B11)*(1-Tax_Rate)+Depreciation*Tax_Rate)/(1+I$6)^9+(Labor_Savings_Y0*(1+Savings_Growth)^(10-1)*(1+$B11)*(1-Tax_Rate)+Depreciation*Tax_Rate)/(1+I$6)^10)/1000000</f>
        <v>-34.7956881393631</v>
      </c>
    </row>
    <row r="13" customFormat="false" ht="15" hidden="false" customHeight="false" outlineLevel="0" collapsed="false">
      <c r="B13" s="32" t="s">
        <v>131</v>
      </c>
    </row>
  </sheetData>
  <mergeCells count="2">
    <mergeCell ref="B2:K2"/>
    <mergeCell ref="B4:K4"/>
  </mergeCells>
  <conditionalFormatting sqref="C7:I11">
    <cfRule type="colorScale" priority="2">
      <colorScale>
        <cfvo type="min" val="0"/>
        <cfvo type="num" val="0"/>
        <cfvo type="max" val="0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4"/>
    <col collapsed="false" customWidth="true" hidden="false" outlineLevel="0" max="11" min="3" style="0" width="13"/>
  </cols>
  <sheetData>
    <row r="2" customFormat="false" ht="30" hidden="false" customHeight="true" outlineLevel="0" collapsed="false">
      <c r="B2" s="7" t="s">
        <v>132</v>
      </c>
      <c r="C2" s="7"/>
      <c r="D2" s="7"/>
      <c r="E2" s="7"/>
      <c r="F2" s="7"/>
      <c r="G2" s="7"/>
      <c r="H2" s="7"/>
      <c r="I2" s="7"/>
    </row>
    <row r="4" customFormat="false" ht="30" hidden="false" customHeight="true" outlineLevel="0" collapsed="false">
      <c r="B4" s="8" t="s">
        <v>133</v>
      </c>
      <c r="C4" s="8"/>
      <c r="D4" s="8"/>
      <c r="E4" s="8"/>
      <c r="F4" s="8"/>
      <c r="G4" s="8"/>
      <c r="H4" s="8"/>
      <c r="I4" s="8"/>
    </row>
    <row r="6" customFormat="false" ht="15" hidden="false" customHeight="false" outlineLevel="0" collapsed="false">
      <c r="B6" s="17" t="s">
        <v>134</v>
      </c>
      <c r="C6" s="47" t="n">
        <v>0.08</v>
      </c>
      <c r="D6" s="47" t="n">
        <v>0.09</v>
      </c>
      <c r="E6" s="47" t="n">
        <v>0.1</v>
      </c>
      <c r="F6" s="47" t="n">
        <v>0.11</v>
      </c>
      <c r="G6" s="47" t="n">
        <v>0.12</v>
      </c>
      <c r="H6" s="47" t="n">
        <v>0.13</v>
      </c>
      <c r="I6" s="47" t="n">
        <v>0.14</v>
      </c>
    </row>
    <row r="7" customFormat="false" ht="15" hidden="false" customHeight="false" outlineLevel="0" collapsed="false">
      <c r="B7" s="9" t="s">
        <v>135</v>
      </c>
      <c r="C7" s="50" t="n">
        <v>0.4675</v>
      </c>
      <c r="D7" s="50" t="n">
        <v>0.4826</v>
      </c>
      <c r="E7" s="50" t="n">
        <v>0.5007</v>
      </c>
      <c r="F7" s="50" t="n">
        <v>0.522</v>
      </c>
      <c r="G7" s="50" t="n">
        <v>0.5429</v>
      </c>
      <c r="H7" s="50" t="n">
        <v>0.5662</v>
      </c>
      <c r="I7" s="50" t="n">
        <v>0.5931</v>
      </c>
    </row>
    <row r="8" customFormat="false" ht="15" hidden="false" customHeight="false" outlineLevel="0" collapsed="false">
      <c r="B8" s="9" t="s">
        <v>136</v>
      </c>
      <c r="C8" s="50" t="n">
        <v>0.481</v>
      </c>
      <c r="D8" s="50" t="n">
        <v>0.4997</v>
      </c>
      <c r="E8" s="50" t="n">
        <v>0.522</v>
      </c>
      <c r="F8" s="50" t="n">
        <v>0.5437</v>
      </c>
      <c r="G8" s="50" t="n">
        <v>0.5684</v>
      </c>
      <c r="H8" s="50" t="n">
        <v>0.5945</v>
      </c>
      <c r="I8" s="50" t="n">
        <v>0.6248</v>
      </c>
    </row>
    <row r="9" customFormat="false" ht="15" hidden="false" customHeight="false" outlineLevel="0" collapsed="false">
      <c r="B9" s="9" t="s">
        <v>137</v>
      </c>
      <c r="C9" s="50" t="n">
        <v>0.4996</v>
      </c>
      <c r="D9" s="50" t="n">
        <v>0.5216</v>
      </c>
      <c r="E9" s="50" t="n">
        <v>0.5437</v>
      </c>
      <c r="F9" s="50" t="n">
        <v>0.5698</v>
      </c>
      <c r="G9" s="50" t="n">
        <v>0.5967</v>
      </c>
      <c r="H9" s="50" t="n">
        <v>0.6297</v>
      </c>
      <c r="I9" s="50" t="n">
        <v>0.6664</v>
      </c>
    </row>
    <row r="10" customFormat="false" ht="15" hidden="false" customHeight="false" outlineLevel="0" collapsed="false">
      <c r="B10" s="9" t="s">
        <v>138</v>
      </c>
      <c r="C10" s="50" t="n">
        <v>0.5225</v>
      </c>
      <c r="D10" s="50" t="n">
        <v>0.5443</v>
      </c>
      <c r="E10" s="50" t="n">
        <v>0.5715</v>
      </c>
      <c r="F10" s="50" t="n">
        <v>0.599</v>
      </c>
      <c r="G10" s="50" t="n">
        <v>0.6356</v>
      </c>
      <c r="H10" s="50" t="n">
        <v>0.6714</v>
      </c>
      <c r="I10" s="50" t="n">
        <v>0.7077</v>
      </c>
    </row>
    <row r="11" customFormat="false" ht="15" hidden="false" customHeight="false" outlineLevel="0" collapsed="false">
      <c r="B11" s="9" t="s">
        <v>139</v>
      </c>
      <c r="C11" s="50" t="n">
        <v>0.5467</v>
      </c>
      <c r="D11" s="50" t="n">
        <v>0.5749</v>
      </c>
      <c r="E11" s="50" t="n">
        <v>0.6042</v>
      </c>
      <c r="F11" s="50" t="n">
        <v>0.6414</v>
      </c>
      <c r="G11" s="50" t="n">
        <v>0.6778</v>
      </c>
      <c r="H11" s="50" t="n">
        <v>0.7156</v>
      </c>
      <c r="I11" s="50" t="n">
        <v>0.7574</v>
      </c>
    </row>
    <row r="14" customFormat="false" ht="15" hidden="false" customHeight="false" outlineLevel="0" collapsed="false">
      <c r="B14" s="17" t="s">
        <v>140</v>
      </c>
      <c r="C14" s="11" t="s">
        <v>141</v>
      </c>
      <c r="D14" s="51" t="n">
        <v>0.6356</v>
      </c>
    </row>
    <row r="15" customFormat="false" ht="15" hidden="false" customHeight="false" outlineLevel="0" collapsed="false">
      <c r="B15" s="11"/>
      <c r="C15" s="11" t="s">
        <v>142</v>
      </c>
      <c r="D15" s="52" t="s">
        <v>143</v>
      </c>
    </row>
    <row r="17" customFormat="false" ht="15" hidden="false" customHeight="false" outlineLevel="0" collapsed="false">
      <c r="B17" s="17" t="s">
        <v>144</v>
      </c>
    </row>
    <row r="18" customFormat="false" ht="15" hidden="false" customHeight="false" outlineLevel="0" collapsed="false">
      <c r="B18" s="11" t="s">
        <v>24</v>
      </c>
      <c r="C18" s="53" t="n">
        <v>0.0830587217376776</v>
      </c>
    </row>
    <row r="19" customFormat="false" ht="15" hidden="false" customHeight="false" outlineLevel="0" collapsed="false">
      <c r="B19" s="11" t="s">
        <v>26</v>
      </c>
      <c r="C19" s="53" t="n">
        <v>0.909979296241442</v>
      </c>
    </row>
    <row r="20" customFormat="false" ht="15" hidden="false" customHeight="false" outlineLevel="0" collapsed="false">
      <c r="B20" s="11" t="s">
        <v>145</v>
      </c>
      <c r="C20" s="53" t="n">
        <v>0.99303801797912</v>
      </c>
    </row>
    <row r="21" customFormat="false" ht="15" hidden="false" customHeight="false" outlineLevel="0" collapsed="false">
      <c r="B21" s="11" t="s">
        <v>146</v>
      </c>
      <c r="C21" s="54" t="n">
        <v>99.2147825008152</v>
      </c>
    </row>
    <row r="22" customFormat="false" ht="15" hidden="false" customHeight="false" outlineLevel="0" collapsed="false">
      <c r="B22" s="11" t="s">
        <v>147</v>
      </c>
      <c r="C22" s="55" t="n">
        <v>0.458262896625429</v>
      </c>
    </row>
    <row r="23" customFormat="false" ht="15" hidden="false" customHeight="false" outlineLevel="0" collapsed="false">
      <c r="B23" s="11" t="s">
        <v>34</v>
      </c>
      <c r="C23" s="56" t="n">
        <v>5.87127551651203</v>
      </c>
    </row>
  </sheetData>
  <mergeCells count="2">
    <mergeCell ref="B2:I2"/>
    <mergeCell ref="B4:I4"/>
  </mergeCells>
  <conditionalFormatting sqref="C7:I11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6" min="3" style="0" width="18"/>
  </cols>
  <sheetData>
    <row r="2" customFormat="false" ht="30" hidden="false" customHeight="true" outlineLevel="0" collapsed="false">
      <c r="B2" s="7" t="s">
        <v>148</v>
      </c>
      <c r="C2" s="7"/>
      <c r="D2" s="7"/>
      <c r="E2" s="7"/>
      <c r="F2" s="7"/>
    </row>
    <row r="4" customFormat="false" ht="15" hidden="false" customHeight="false" outlineLevel="0" collapsed="false">
      <c r="B4" s="40" t="s">
        <v>149</v>
      </c>
      <c r="C4" s="40" t="s">
        <v>118</v>
      </c>
      <c r="D4" s="40" t="s">
        <v>119</v>
      </c>
      <c r="E4" s="40" t="s">
        <v>120</v>
      </c>
      <c r="F4" s="40" t="s">
        <v>121</v>
      </c>
    </row>
    <row r="5" customFormat="false" ht="15" hidden="false" customHeight="false" outlineLevel="0" collapsed="false">
      <c r="B5" s="11" t="s">
        <v>123</v>
      </c>
      <c r="C5" s="22" t="n">
        <f aca="false">WACC_Base</f>
        <v>0.1</v>
      </c>
      <c r="D5" s="22" t="n">
        <f aca="false">WACC_Base+Rate_Shock</f>
        <v>0.12</v>
      </c>
      <c r="E5" s="22" t="n">
        <f aca="false">WACC_Base</f>
        <v>0.1</v>
      </c>
      <c r="F5" s="22" t="n">
        <f aca="false">WACC_Base+Rate_Shock</f>
        <v>0.12</v>
      </c>
    </row>
    <row r="6" customFormat="false" ht="15" hidden="false" customHeight="false" outlineLevel="0" collapsed="false">
      <c r="B6" s="11" t="s">
        <v>150</v>
      </c>
      <c r="C6" s="41" t="n">
        <v>0</v>
      </c>
      <c r="D6" s="41" t="n">
        <v>0</v>
      </c>
      <c r="E6" s="24" t="n">
        <f aca="false">Demand_Shock_Stress</f>
        <v>-0.15</v>
      </c>
      <c r="F6" s="24" t="n">
        <f aca="false">Demand_Shock_Stress</f>
        <v>-0.15</v>
      </c>
    </row>
    <row r="8" customFormat="false" ht="15" hidden="false" customHeight="false" outlineLevel="0" collapsed="false">
      <c r="B8" s="17" t="s">
        <v>151</v>
      </c>
      <c r="C8" s="57" t="n">
        <f aca="false">(-Capex_Total+(Labor_Savings_Y0*(1+Savings_Growth)^(1-1)*(1+$C$6)*(1-Tax_Rate)+Depreciation*Tax_Rate)/(1+$C$5)^1+(Labor_Savings_Y0*(1+Savings_Growth)^(2-1)*(1+$C$6)*(1-Tax_Rate)+Depreciation*Tax_Rate)/(1+$C$5)^2+(Labor_Savings_Y0*(1+Savings_Growth)^(3-1)*(1+$C$6)*(1-Tax_Rate)+Depreciation*Tax_Rate)/(1+$C$5)^3+(Labor_Savings_Y0*(1+Savings_Growth)^(4-1)*(1+$C$6)*(1-Tax_Rate)+Depreciation*Tax_Rate)/(1+$C$5)^4+(Labor_Savings_Y0*(1+Savings_Growth)^(5-1)*(1+$C$6)*(1-Tax_Rate)+Depreciation*Tax_Rate)/(1+$C$5)^5+(Labor_Savings_Y0*(1+Savings_Growth)^(6-1)*(1+$C$6)*(1-Tax_Rate)+Depreciation*Tax_Rate)/(1+$C$5)^6+(Labor_Savings_Y0*(1+Savings_Growth)^(7-1)*(1+$C$6)*(1-Tax_Rate)+Depreciation*Tax_Rate)/(1+$C$5)^7+(Labor_Savings_Y0*(1+Savings_Growth)^(8-1)*(1+$C$6)*(1-Tax_Rate)+Depreciation*Tax_Rate)/(1+$C$5)^8+(Labor_Savings_Y0*(1+Savings_Growth)^(9-1)*(1+$C$6)*(1-Tax_Rate)+Depreciation*Tax_Rate)/(1+$C$5)^9+(Labor_Savings_Y0*(1+Savings_Growth)^(10-1)*(1+$C$6)*(1-Tax_Rate)+Depreciation*Tax_Rate)/(1+$C$5)^10)/1000000</f>
        <v>14.8542849895298</v>
      </c>
      <c r="D8" s="57" t="n">
        <f aca="false">(-Capex_Total+(Labor_Savings_Y0*(1+Savings_Growth)^(1-1)*(1+$D$6)*(1-Tax_Rate)+Depreciation*Tax_Rate)/(1+$D$5)^1+(Labor_Savings_Y0*(1+Savings_Growth)^(2-1)*(1+$D$6)*(1-Tax_Rate)+Depreciation*Tax_Rate)/(1+$D$5)^2+(Labor_Savings_Y0*(1+Savings_Growth)^(3-1)*(1+$D$6)*(1-Tax_Rate)+Depreciation*Tax_Rate)/(1+$D$5)^3+(Labor_Savings_Y0*(1+Savings_Growth)^(4-1)*(1+$D$6)*(1-Tax_Rate)+Depreciation*Tax_Rate)/(1+$D$5)^4+(Labor_Savings_Y0*(1+Savings_Growth)^(5-1)*(1+$D$6)*(1-Tax_Rate)+Depreciation*Tax_Rate)/(1+$D$5)^5+(Labor_Savings_Y0*(1+Savings_Growth)^(6-1)*(1+$D$6)*(1-Tax_Rate)+Depreciation*Tax_Rate)/(1+$D$5)^6+(Labor_Savings_Y0*(1+Savings_Growth)^(7-1)*(1+$D$6)*(1-Tax_Rate)+Depreciation*Tax_Rate)/(1+$D$5)^7+(Labor_Savings_Y0*(1+Savings_Growth)^(8-1)*(1+$D$6)*(1-Tax_Rate)+Depreciation*Tax_Rate)/(1+$D$5)^8+(Labor_Savings_Y0*(1+Savings_Growth)^(9-1)*(1+$D$6)*(1-Tax_Rate)+Depreciation*Tax_Rate)/(1+$D$5)^9+(Labor_Savings_Y0*(1+Savings_Growth)^(10-1)*(1+$D$6)*(1-Tax_Rate)+Depreciation*Tax_Rate)/(1+$D$5)^10)/1000000</f>
        <v>1.13347067341245</v>
      </c>
      <c r="E8" s="57" t="n">
        <f aca="false">(-Capex_Total+(Labor_Savings_Y0*(1+Savings_Growth)^(1-1)*(1+$E$6)*(1-Tax_Rate)+Depreciation*Tax_Rate)/(1+$E$5)^1+(Labor_Savings_Y0*(1+Savings_Growth)^(2-1)*(1+$E$6)*(1-Tax_Rate)+Depreciation*Tax_Rate)/(1+$E$5)^2+(Labor_Savings_Y0*(1+Savings_Growth)^(3-1)*(1+$E$6)*(1-Tax_Rate)+Depreciation*Tax_Rate)/(1+$E$5)^3+(Labor_Savings_Y0*(1+Savings_Growth)^(4-1)*(1+$E$6)*(1-Tax_Rate)+Depreciation*Tax_Rate)/(1+$E$5)^4+(Labor_Savings_Y0*(1+Savings_Growth)^(5-1)*(1+$E$6)*(1-Tax_Rate)+Depreciation*Tax_Rate)/(1+$E$5)^5+(Labor_Savings_Y0*(1+Savings_Growth)^(6-1)*(1+$E$6)*(1-Tax_Rate)+Depreciation*Tax_Rate)/(1+$E$5)^6+(Labor_Savings_Y0*(1+Savings_Growth)^(7-1)*(1+$E$6)*(1-Tax_Rate)+Depreciation*Tax_Rate)/(1+$E$5)^7+(Labor_Savings_Y0*(1+Savings_Growth)^(8-1)*(1+$E$6)*(1-Tax_Rate)+Depreciation*Tax_Rate)/(1+$E$5)^8+(Labor_Savings_Y0*(1+Savings_Growth)^(9-1)*(1+$E$6)*(1-Tax_Rate)+Depreciation*Tax_Rate)/(1+$E$5)^9+(Labor_Savings_Y0*(1+Savings_Growth)^(10-1)*(1+$E$6)*(1-Tax_Rate)+Depreciation*Tax_Rate)/(1+$E$5)^10)/1000000</f>
        <v>-6.41753876194081</v>
      </c>
      <c r="F8" s="57" t="n">
        <f aca="false">(-Capex_Total+(Labor_Savings_Y0*(1+Savings_Growth)^(1-1)*(1+$F$6)*(1-Tax_Rate)+Depreciation*Tax_Rate)/(1+$F$5)^1+(Labor_Savings_Y0*(1+Savings_Growth)^(2-1)*(1+$F$6)*(1-Tax_Rate)+Depreciation*Tax_Rate)/(1+$F$5)^2+(Labor_Savings_Y0*(1+Savings_Growth)^(3-1)*(1+$F$6)*(1-Tax_Rate)+Depreciation*Tax_Rate)/(1+$F$5)^3+(Labor_Savings_Y0*(1+Savings_Growth)^(4-1)*(1+$F$6)*(1-Tax_Rate)+Depreciation*Tax_Rate)/(1+$F$5)^4+(Labor_Savings_Y0*(1+Savings_Growth)^(5-1)*(1+$F$6)*(1-Tax_Rate)+Depreciation*Tax_Rate)/(1+$F$5)^5+(Labor_Savings_Y0*(1+Savings_Growth)^(6-1)*(1+$F$6)*(1-Tax_Rate)+Depreciation*Tax_Rate)/(1+$F$5)^6+(Labor_Savings_Y0*(1+Savings_Growth)^(7-1)*(1+$F$6)*(1-Tax_Rate)+Depreciation*Tax_Rate)/(1+$F$5)^7+(Labor_Savings_Y0*(1+Savings_Growth)^(8-1)*(1+$F$6)*(1-Tax_Rate)+Depreciation*Tax_Rate)/(1+$F$5)^8+(Labor_Savings_Y0*(1+Savings_Growth)^(9-1)*(1+$F$6)*(1-Tax_Rate)+Depreciation*Tax_Rate)/(1+$F$5)^9+(Labor_Savings_Y0*(1+Savings_Growth)^(10-1)*(1+$F$6)*(1-Tax_Rate)+Depreciation*Tax_Rate)/(1+$F$5)^10)/1000000</f>
        <v>-18.3582994741183</v>
      </c>
    </row>
    <row r="10" customFormat="false" ht="15" hidden="false" customHeight="false" outlineLevel="0" collapsed="false">
      <c r="B10" s="17" t="s">
        <v>152</v>
      </c>
      <c r="C10" s="58" t="n">
        <v>0.5007</v>
      </c>
      <c r="D10" s="58" t="n">
        <v>0.5429</v>
      </c>
      <c r="E10" s="58" t="n">
        <v>0.5715</v>
      </c>
      <c r="F10" s="58" t="n">
        <v>0.6356</v>
      </c>
    </row>
    <row r="11" customFormat="false" ht="15" hidden="false" customHeight="false" outlineLevel="0" collapsed="false">
      <c r="B11" s="11" t="s">
        <v>153</v>
      </c>
      <c r="C11" s="59" t="n">
        <v>0.4904975</v>
      </c>
      <c r="D11" s="59" t="n">
        <v>0.5327975</v>
      </c>
      <c r="E11" s="59" t="n">
        <v>0.5621</v>
      </c>
      <c r="F11" s="59" t="n">
        <v>0.6258</v>
      </c>
    </row>
    <row r="12" customFormat="false" ht="15" hidden="false" customHeight="false" outlineLevel="0" collapsed="false">
      <c r="B12" s="11" t="s">
        <v>154</v>
      </c>
      <c r="C12" s="59" t="n">
        <v>0.5114</v>
      </c>
      <c r="D12" s="59" t="n">
        <v>0.5523</v>
      </c>
      <c r="E12" s="59" t="n">
        <v>0.5812025</v>
      </c>
      <c r="F12" s="59" t="n">
        <v>0.6458025</v>
      </c>
    </row>
    <row r="14" customFormat="false" ht="15" hidden="false" customHeight="false" outlineLevel="0" collapsed="false">
      <c r="B14" s="19" t="s">
        <v>155</v>
      </c>
      <c r="C14" s="60" t="str">
        <f aca="false">IF(C8&gt;0,"ACCEPT","REJECT")</f>
        <v>ACCEPT</v>
      </c>
      <c r="D14" s="60" t="str">
        <f aca="false">IF(D8&gt;0,"ACCEPT","REJECT")</f>
        <v>ACCEPT</v>
      </c>
      <c r="E14" s="60" t="str">
        <f aca="false">IF(E8&gt;0,"ACCEPT","REJECT")</f>
        <v>REJECT</v>
      </c>
      <c r="F14" s="60" t="str">
        <f aca="false">IF(F8&gt;0,"ACCEPT","REJECT")</f>
        <v>REJECT</v>
      </c>
    </row>
    <row r="17" customFormat="false" ht="21.75" hidden="false" customHeight="true" outlineLevel="0" collapsed="false">
      <c r="B17" s="3" t="s">
        <v>156</v>
      </c>
      <c r="C17" s="3"/>
      <c r="D17" s="3"/>
      <c r="E17" s="3"/>
      <c r="F17" s="3"/>
    </row>
    <row r="18" customFormat="false" ht="60" hidden="false" customHeight="true" outlineLevel="0" collapsed="false">
      <c r="B18" s="17" t="s">
        <v>157</v>
      </c>
      <c r="C18" s="4" t="s">
        <v>158</v>
      </c>
      <c r="D18" s="4"/>
      <c r="E18" s="4"/>
      <c r="F18" s="4"/>
    </row>
    <row r="19" customFormat="false" ht="60" hidden="false" customHeight="true" outlineLevel="0" collapsed="false">
      <c r="B19" s="17" t="s">
        <v>159</v>
      </c>
      <c r="C19" s="4" t="s">
        <v>160</v>
      </c>
      <c r="D19" s="4"/>
      <c r="E19" s="4"/>
      <c r="F19" s="4"/>
    </row>
    <row r="20" customFormat="false" ht="60" hidden="false" customHeight="true" outlineLevel="0" collapsed="false">
      <c r="B20" s="17" t="s">
        <v>161</v>
      </c>
      <c r="C20" s="4" t="s">
        <v>162</v>
      </c>
      <c r="D20" s="4"/>
      <c r="E20" s="4"/>
      <c r="F20" s="4"/>
    </row>
    <row r="21" customFormat="false" ht="60" hidden="false" customHeight="true" outlineLevel="0" collapsed="false">
      <c r="B21" s="17" t="s">
        <v>163</v>
      </c>
      <c r="C21" s="4" t="s">
        <v>164</v>
      </c>
      <c r="D21" s="4"/>
      <c r="E21" s="4"/>
      <c r="F21" s="4"/>
    </row>
  </sheetData>
  <mergeCells count="6">
    <mergeCell ref="B2:F2"/>
    <mergeCell ref="B17:F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2026-05-06T09:01:24Z</dcterms:created>
  <dc:creator>openpyxl</dc:creator>
  <dc:description/>
  <dc:language>en-US</dc:language>
  <cp:lastModifiedBy/>
  <dcterms:modified xsi:type="dcterms:W3CDTF">2026-05-06T09:01:24Z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