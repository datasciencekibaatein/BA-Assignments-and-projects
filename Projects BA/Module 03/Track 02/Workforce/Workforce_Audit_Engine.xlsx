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eadcount" sheetId="2" state="visible" r:id="rId4"/>
    <sheet name="DuPont" sheetId="3" state="visible" r:id="rId5"/>
    <sheet name="Inputs" sheetId="4" state="visible" r:id="rId6"/>
    <sheet name="Scenarios" sheetId="5" state="visible" r:id="rId7"/>
    <sheet name="Cost_Forecast" sheetId="6" state="visible" r:id="rId8"/>
    <sheet name="Sensitivity" sheetId="7" state="visible" r:id="rId9"/>
    <sheet name="Summary" sheetId="8" state="visible" r:id="rId10"/>
  </sheets>
  <definedNames>
    <definedName function="false" hidden="false" name="Active_AttrShift" vbProcedure="false">Scenarios!$C$12</definedName>
    <definedName function="false" hidden="false" name="Active_JL1_Attr" vbProcedure="false">Scenarios!$C$13</definedName>
    <definedName function="false" hidden="false" name="Active_Retention" vbProcedure="false">Scenarios!$C$14</definedName>
    <definedName function="false" hidden="false" name="Active_WageInfl" vbProcedure="false">Scenarios!$C$11</definedName>
    <definedName function="false" hidden="false" name="AnnualSalaries" vbProcedure="false">Headcount!$E$7:$E$11</definedName>
    <definedName function="false" hidden="false" name="AttrRates" vbProcedure="false">Headcount!$D$7:$D$11</definedName>
    <definedName function="false" hidden="false" name="Attr_Rise_Infl" vbProcedure="false">Inputs!$C$11</definedName>
    <definedName function="false" hidden="false" name="Headcounts" vbProcedure="false">Headcount!$C$7:$C$11</definedName>
    <definedName function="false" hidden="false" name="JobLevels" vbProcedure="false">Headcount!$B$7:$B$11</definedName>
    <definedName function="false" hidden="false" name="Replace_Mult" vbProcedure="false">Inputs!$C$8</definedName>
    <definedName function="false" hidden="false" name="Retention_Invest" vbProcedure="false">Inputs!$C$9</definedName>
    <definedName function="false" hidden="false" name="Target_Attr_L1" vbProcedure="false">Inputs!$C$10</definedName>
    <definedName function="false" hidden="false" name="WageInfl_Base" vbProcedure="false">Inputs!$C$6</definedName>
    <definedName function="false" hidden="false" name="WageInfl_High" vbProcedure="false">Inputs!$C$7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<sst xmlns="http://schemas.openxmlformats.org/spreadsheetml/2006/main" count="152" uniqueCount="144">
  <si>
    <t xml:space="preserve">Workforce Risk Audit</t>
  </si>
  <si>
    <t xml:space="preserve">Attrition, Compensation &amp; Retention Strategy | IBM HR Analytics anchor</t>
  </si>
  <si>
    <t xml:space="preserve">Engagement Brief</t>
  </si>
  <si>
    <t xml:space="preserve">IBM's HR analytics team is preparing a board-level briefing on workforce attrition. The CHRO needs to know which segments are bleeding talent, what's causing exits, what the 3-year cost trajectory is under different macro scenarios, and where to invest retention dollars first. This workbook computes the answer in formulas; the Tableau dashboard makes it interactive; the Pyramid deck delivers the recommendation.</t>
  </si>
  <si>
    <t xml:space="preserve">Anchor</t>
  </si>
  <si>
    <t xml:space="preserve">Dataset</t>
  </si>
  <si>
    <t xml:space="preserve">IBM HR Analytics Employee Attrition (Kaggle)</t>
  </si>
  <si>
    <t xml:space="preserve">Population</t>
  </si>
  <si>
    <t xml:space="preserve">1,470 employees, 3 departments, 9 job roles, 5 job levels</t>
  </si>
  <si>
    <t xml:space="preserve">Overall attrition</t>
  </si>
  <si>
    <t xml:space="preserve">16.12%</t>
  </si>
  <si>
    <t xml:space="preserve">Worst role</t>
  </si>
  <si>
    <t xml:space="preserve">Sales Representative — 39.8% attrition</t>
  </si>
  <si>
    <t xml:space="preserve">Best role</t>
  </si>
  <si>
    <t xml:space="preserve">Research Director — 2.5% attrition</t>
  </si>
  <si>
    <t xml:space="preserve">Logistic regression AUC</t>
  </si>
  <si>
    <t xml:space="preserve">0.748 (out-of-sample holdout)</t>
  </si>
  <si>
    <t xml:space="preserve">Methodology</t>
  </si>
  <si>
    <t xml:space="preserve">Compensation DuPont</t>
  </si>
  <si>
    <t xml:space="preserve">Cost-per-Retained-FTE = Pay × (1/Retention) × (1/TenureMult)</t>
  </si>
  <si>
    <t xml:space="preserve">Causation analysis</t>
  </si>
  <si>
    <t xml:space="preserve">Logistic regression with multicollinearity check (VIF) and standardised coefficients</t>
  </si>
  <si>
    <t xml:space="preserve">Cost forecast</t>
  </si>
  <si>
    <t xml:space="preserve">Departures × Salary × Replacement multiplier (1.5×) compounded with wage inflation</t>
  </si>
  <si>
    <t xml:space="preserve">3 scenarios</t>
  </si>
  <si>
    <t xml:space="preserve">Baseline / Wage-Inflation / Retention-Investment</t>
  </si>
  <si>
    <t xml:space="preserve">Sensitivity grid</t>
  </si>
  <si>
    <t xml:space="preserve">2-way data table: cost vs (Wage Inflation × Replacement Multiplier)</t>
  </si>
  <si>
    <t xml:space="preserve">How to use this workbook</t>
  </si>
  <si>
    <t xml:space="preserve">1. Inputs</t>
  </si>
  <si>
    <t xml:space="preserve">Edit BLUE cells - macro assumptions, replacement multiplier</t>
  </si>
  <si>
    <t xml:space="preserve">2. Scenarios</t>
  </si>
  <si>
    <t xml:space="preserve">Toggle Active Scenario (1/2/3); whole model recalculates</t>
  </si>
  <si>
    <t xml:space="preserve">3. Cost_Forecast</t>
  </si>
  <si>
    <t xml:space="preserve">4-year projection per scenario; pulls from Inputs and Headcount</t>
  </si>
  <si>
    <t xml:space="preserve">4. Sensitivity</t>
  </si>
  <si>
    <t xml:space="preserve">Stress-test cost against macro inputs</t>
  </si>
  <si>
    <t xml:space="preserve">5. Summary</t>
  </si>
  <si>
    <t xml:space="preserve">Cumulative cost comparison; recommendation</t>
  </si>
  <si>
    <t xml:space="preserve">Color coding</t>
  </si>
  <si>
    <t xml:space="preserve">BLUE TEXT</t>
  </si>
  <si>
    <t xml:space="preserve">Hardcoded inputs - editable</t>
  </si>
  <si>
    <t xml:space="preserve">BLACK TEXT</t>
  </si>
  <si>
    <t xml:space="preserve">Formulas - do not overwrite</t>
  </si>
  <si>
    <t xml:space="preserve">GREEN TEXT</t>
  </si>
  <si>
    <t xml:space="preserve">Cross-sheet links</t>
  </si>
  <si>
    <t xml:space="preserve">YELLOW BG</t>
  </si>
  <si>
    <t xml:space="preserve">Critical assumptions - edit first when stress-testing</t>
  </si>
  <si>
    <t xml:space="preserve">Workforce Composition - by Job Level</t>
  </si>
  <si>
    <t xml:space="preserve">JobLevel 1 is the bleeding wound: 26.3% attrition, lowest pay, shortest tenure. JobLevel 4-5 are stable. The retention strategy is targeted at JobLevel 1.</t>
  </si>
  <si>
    <t xml:space="preserve">JobLevel</t>
  </si>
  <si>
    <t xml:space="preserve">Headcount</t>
  </si>
  <si>
    <t xml:space="preserve">Attrition Rate</t>
  </si>
  <si>
    <t xml:space="preserve">Annual Salary (median)</t>
  </si>
  <si>
    <t xml:space="preserve">Median Tenure (yrs)</t>
  </si>
  <si>
    <t xml:space="preserve">Annual Departures</t>
  </si>
  <si>
    <t xml:space="preserve">Replace Cost ($1.5x)</t>
  </si>
  <si>
    <t xml:space="preserve">TOTAL</t>
  </si>
  <si>
    <t xml:space="preserve">Compensation DuPont - Cost per Retained FTE</t>
  </si>
  <si>
    <t xml:space="preserve">Cost-per-Retained-FTE = Annual Pay × (1/Retention Rate) × (1/Tenure Multiplier). This deconstructs which retention lever matters most: pay, retention rate, or tenure productivity.</t>
  </si>
  <si>
    <t xml:space="preserve">JobRole</t>
  </si>
  <si>
    <t xml:space="preserve">Pay Annual</t>
  </si>
  <si>
    <t xml:space="preserve">Retention Rate</t>
  </si>
  <si>
    <t xml:space="preserve">1/Retention</t>
  </si>
  <si>
    <t xml:space="preserve">Median Tenure</t>
  </si>
  <si>
    <t xml:space="preserve">Tenure Mult</t>
  </si>
  <si>
    <t xml:space="preserve">Cost per Retained</t>
  </si>
  <si>
    <t xml:space="preserve">vs Baseline ($60k)</t>
  </si>
  <si>
    <t xml:space="preserve">Sales Representative</t>
  </si>
  <si>
    <t xml:space="preserve">Research Director</t>
  </si>
  <si>
    <t xml:space="preserve">Manager</t>
  </si>
  <si>
    <t xml:space="preserve">Sales Executive</t>
  </si>
  <si>
    <t xml:space="preserve">Healthcare Representative</t>
  </si>
  <si>
    <t xml:space="preserve">Manufacturing Director</t>
  </si>
  <si>
    <t xml:space="preserve">Laboratory Technician</t>
  </si>
  <si>
    <t xml:space="preserve">Human Resources</t>
  </si>
  <si>
    <t xml:space="preserve">Research Scientist</t>
  </si>
  <si>
    <t xml:space="preserve">Macro Inputs &amp; Cost Parameters</t>
  </si>
  <si>
    <t xml:space="preserve">1. Macro Assumptions</t>
  </si>
  <si>
    <t xml:space="preserve">Parameter</t>
  </si>
  <si>
    <t xml:space="preserve">Value</t>
  </si>
  <si>
    <t xml:space="preserve">Unit</t>
  </si>
  <si>
    <t xml:space="preserve">Note</t>
  </si>
  <si>
    <t xml:space="preserve">Wage inflation - Baseline</t>
  </si>
  <si>
    <t xml:space="preserve">%/yr</t>
  </si>
  <si>
    <t xml:space="preserve">US wage-growth proxy, long-term avg</t>
  </si>
  <si>
    <t xml:space="preserve">Wage inflation - High Inflation</t>
  </si>
  <si>
    <t xml:space="preserve">Stress scenario: tight labour market</t>
  </si>
  <si>
    <t xml:space="preserve">Replacement cost multiplier</t>
  </si>
  <si>
    <t xml:space="preserve">x</t>
  </si>
  <si>
    <t xml:space="preserve">Industry rule of thumb; 1.5x annual salary</t>
  </si>
  <si>
    <t xml:space="preserve">Retention investment / FTE</t>
  </si>
  <si>
    <t xml:space="preserve">$/yr</t>
  </si>
  <si>
    <t xml:space="preserve">Spend per JobLevel-1 employee</t>
  </si>
  <si>
    <t xml:space="preserve">Target attrition (JL-1)</t>
  </si>
  <si>
    <t xml:space="preserve">%</t>
  </si>
  <si>
    <t xml:space="preserve">Achievable with retention program</t>
  </si>
  <si>
    <t xml:space="preserve">Attrition rise under inflation</t>
  </si>
  <si>
    <t xml:space="preserve">pp</t>
  </si>
  <si>
    <t xml:space="preserve">+2pp company-wide if wages lag market</t>
  </si>
  <si>
    <t xml:space="preserve">Scenario Definitions</t>
  </si>
  <si>
    <t xml:space="preserve">Baseline</t>
  </si>
  <si>
    <t xml:space="preserve">Wage-Inflation</t>
  </si>
  <si>
    <t xml:space="preserve">Retention-Investment</t>
  </si>
  <si>
    <t xml:space="preserve">Wage inflation</t>
  </si>
  <si>
    <t xml:space="preserve">Attrition shift (pp)</t>
  </si>
  <si>
    <t xml:space="preserve">JL-1 attrition rate</t>
  </si>
  <si>
    <t xml:space="preserve">Retention spend / FTE / yr</t>
  </si>
  <si>
    <t xml:space="preserve">ACTIVE SCENARIO:</t>
  </si>
  <si>
    <t xml:space="preserve">(1=Baseline, 2=Wage-Infl, 3=Retention-Invest)</t>
  </si>
  <si>
    <t xml:space="preserve">Active wage inflation</t>
  </si>
  <si>
    <t xml:space="preserve">Active attrition shift</t>
  </si>
  <si>
    <t xml:space="preserve">Active JL-1 attrition</t>
  </si>
  <si>
    <t xml:space="preserve">Active retention spend</t>
  </si>
  <si>
    <t xml:space="preserve">4-Year Attrition Cost Forecast - Active Scenario</t>
  </si>
  <si>
    <t xml:space="preserve">Year-by-year forecast for the active scenario. Edit the Scenario picker (Scenarios sheet, cell C10) to recompute. Year 0 = today; through Year 3.</t>
  </si>
  <si>
    <t xml:space="preserve">Attr Rate</t>
  </si>
  <si>
    <t xml:space="preserve">Salary Y0</t>
  </si>
  <si>
    <t xml:space="preserve">Y0 Cost</t>
  </si>
  <si>
    <t xml:space="preserve">Y1 Cost</t>
  </si>
  <si>
    <t xml:space="preserve">Y2 Cost</t>
  </si>
  <si>
    <t xml:space="preserve">Y3 Cost</t>
  </si>
  <si>
    <t xml:space="preserve">4yr Cumulative</t>
  </si>
  <si>
    <t xml:space="preserve">REPLACEMENT COST TOTAL</t>
  </si>
  <si>
    <t xml:space="preserve">Retention spend (JL-1)</t>
  </si>
  <si>
    <t xml:space="preserve">GRAND TOTAL (incl retention)</t>
  </si>
  <si>
    <t xml:space="preserve">Sensitivity - Year-3 Cost by Wage Inflation × Replacement Multiplier</t>
  </si>
  <si>
    <t xml:space="preserve">How does Year-3 attrition cost change as wage inflation and replacement multiplier shift? Both axes assume Baseline scenario (no retention investment) so this isolates the macro risk.</t>
  </si>
  <si>
    <t xml:space="preserve">Replace Mult v   |   Wage Infl &gt;</t>
  </si>
  <si>
    <t xml:space="preserve">Executive Summary - Workforce Risk Audit</t>
  </si>
  <si>
    <t xml:space="preserve">Metric</t>
  </si>
  <si>
    <t xml:space="preserve">4-yr replacement cost</t>
  </si>
  <si>
    <t xml:space="preserve">4-yr retention spend</t>
  </si>
  <si>
    <t xml:space="preserve">4-yr TOTAL COST</t>
  </si>
  <si>
    <t xml:space="preserve">Δ vs Baseline</t>
  </si>
  <si>
    <t xml:space="preserve">Recommendation (Pyramid Principle top)</t>
  </si>
  <si>
    <t xml:space="preserve">Decision rule</t>
  </si>
  <si>
    <t xml:space="preserve">Cap mandatory OverTime for JobLevel 1 staff and reinvest in retention bonuses for Sales Reps and Lab Technicians. The data shows OverTime nearly doubles attrition odds; this is a higher-leverage lever than across-the-board pay raises.</t>
  </si>
  <si>
    <t xml:space="preserve">Why not just raise pay</t>
  </si>
  <si>
    <t xml:space="preserve">Logistic regression with controls shows MonthlyIncome's residual effect on attrition is small once JobLevel is held constant. Pay and JobLevel correlate at r=0.95 - the apparent 'pay effect' is largely a seniority confound.</t>
  </si>
  <si>
    <t xml:space="preserve">Macro hedge</t>
  </si>
  <si>
    <t xml:space="preserve">Wage-Inflation scenario costs ~$19M more cumulatively than Baseline. Proactive wage adjustment for retention-critical segments BEFORE inflation hits is the most important macro hedge - reactive raises during inflation are far more expensive.</t>
  </si>
  <si>
    <t xml:space="preserve">Confidence</t>
  </si>
  <si>
    <t xml:space="preserve">Logistic regression AUC = 0.748 (out-of-sample). VIF analysis confirmed multicollinearity between Income and JobLevel. Findings are robust to specification.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</si>
</sst>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%"/>
    <numFmt numFmtId="167" formatCode="\$#,##0"/>
    <numFmt numFmtId="168" formatCode="0.0"/>
    <numFmt numFmtId="169" formatCode="0"/>
    <numFmt numFmtId="170" formatCode="0.000"/>
    <numFmt numFmtId="171" formatCode="0.0\x"/>
    <numFmt numFmtId="172" formatCode="0.00"/>
    <numFmt numFmtId="173" formatCode="0%"/>
    <numFmt numFmtId="174" formatCode="0.00\x"/>
    <numFmt numFmtId="175" formatCode="\$#,##0;&quot;-$&quot;#,##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  <fill>
      <patternFill patternType="solid">
        <fgColor rgb="FF2E7D7D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E07A1F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864"/>
      <rgbColor rgb="FF2E7D7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21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1"/>
      <c r="C3" s="1"/>
    </row>
    <row r="4" customFormat="false" ht="21.75" hidden="false" customHeight="true" outlineLevel="0" collapsed="false">
      <c r="B4" s="1"/>
      <c r="C4" s="1"/>
    </row>
    <row r="5" customFormat="false" ht="15" hidden="false" customHeight="false" outlineLevel="0" collapsed="false">
      <c r="B5" s="2" t="s">
        <v>1</v>
      </c>
      <c r="C5" s="2"/>
    </row>
    <row r="7" customFormat="false" ht="17.35" hidden="false" customHeight="false" outlineLevel="0" collapsed="false">
      <c r="B7" s="3" t="s">
        <v>2</v>
      </c>
      <c r="C7" s="3"/>
    </row>
    <row r="8" customFormat="false" ht="75" hidden="false" customHeight="true" outlineLevel="0" collapsed="false">
      <c r="B8" s="4" t="s">
        <v>3</v>
      </c>
      <c r="C8" s="4"/>
    </row>
    <row r="10" customFormat="false" ht="17.35" hidden="false" customHeight="false" outlineLevel="0" collapsed="false">
      <c r="B10" s="3" t="s">
        <v>4</v>
      </c>
      <c r="C10" s="3"/>
    </row>
    <row r="11" customFormat="false" ht="15" hidden="false" customHeight="false" outlineLevel="0" collapsed="false">
      <c r="B11" s="5" t="s">
        <v>5</v>
      </c>
      <c r="C11" s="6" t="s">
        <v>6</v>
      </c>
    </row>
    <row r="12" customFormat="false" ht="15" hidden="false" customHeight="false" outlineLevel="0" collapsed="false">
      <c r="B12" s="5" t="s">
        <v>7</v>
      </c>
      <c r="C12" s="6" t="s">
        <v>8</v>
      </c>
    </row>
    <row r="13" customFormat="false" ht="15" hidden="false" customHeight="false" outlineLevel="0" collapsed="false">
      <c r="B13" s="5" t="s">
        <v>9</v>
      </c>
      <c r="C13" s="6" t="s">
        <v>10</v>
      </c>
    </row>
    <row r="14" customFormat="false" ht="15" hidden="false" customHeight="false" outlineLevel="0" collapsed="false">
      <c r="B14" s="5" t="s">
        <v>11</v>
      </c>
      <c r="C14" s="6" t="s">
        <v>12</v>
      </c>
    </row>
    <row r="15" customFormat="false" ht="15" hidden="false" customHeight="false" outlineLevel="0" collapsed="false">
      <c r="B15" s="5" t="s">
        <v>13</v>
      </c>
      <c r="C15" s="6" t="s">
        <v>14</v>
      </c>
    </row>
    <row r="16" customFormat="false" ht="15" hidden="false" customHeight="false" outlineLevel="0" collapsed="false">
      <c r="B16" s="5" t="s">
        <v>15</v>
      </c>
      <c r="C16" s="6" t="s">
        <v>16</v>
      </c>
    </row>
    <row r="18" customFormat="false" ht="17.35" hidden="false" customHeight="false" outlineLevel="0" collapsed="false">
      <c r="B18" s="3" t="s">
        <v>17</v>
      </c>
      <c r="C18" s="3"/>
    </row>
    <row r="19" customFormat="false" ht="15" hidden="false" customHeight="false" outlineLevel="0" collapsed="false">
      <c r="B19" s="5" t="s">
        <v>18</v>
      </c>
      <c r="C19" s="6" t="s">
        <v>19</v>
      </c>
    </row>
    <row r="20" customFormat="false" ht="15" hidden="false" customHeight="false" outlineLevel="0" collapsed="false">
      <c r="B20" s="5" t="s">
        <v>20</v>
      </c>
      <c r="C20" s="6" t="s">
        <v>21</v>
      </c>
    </row>
    <row r="21" customFormat="false" ht="15" hidden="false" customHeight="false" outlineLevel="0" collapsed="false">
      <c r="B21" s="5" t="s">
        <v>22</v>
      </c>
      <c r="C21" s="6" t="s">
        <v>23</v>
      </c>
    </row>
    <row r="22" customFormat="false" ht="15" hidden="false" customHeight="false" outlineLevel="0" collapsed="false">
      <c r="B22" s="5" t="s">
        <v>24</v>
      </c>
      <c r="C22" s="6" t="s">
        <v>25</v>
      </c>
    </row>
    <row r="23" customFormat="false" ht="15" hidden="false" customHeight="false" outlineLevel="0" collapsed="false">
      <c r="B23" s="5" t="s">
        <v>26</v>
      </c>
      <c r="C23" s="6" t="s">
        <v>27</v>
      </c>
    </row>
    <row r="25" customFormat="false" ht="17.35" hidden="false" customHeight="false" outlineLevel="0" collapsed="false">
      <c r="B25" s="3" t="s">
        <v>28</v>
      </c>
      <c r="C25" s="3"/>
    </row>
    <row r="26" customFormat="false" ht="15" hidden="false" customHeight="false" outlineLevel="0" collapsed="false">
      <c r="B26" s="5" t="s">
        <v>29</v>
      </c>
      <c r="C26" s="6" t="s">
        <v>30</v>
      </c>
    </row>
    <row r="27" customFormat="false" ht="15" hidden="false" customHeight="false" outlineLevel="0" collapsed="false">
      <c r="B27" s="5" t="s">
        <v>31</v>
      </c>
      <c r="C27" s="6" t="s">
        <v>32</v>
      </c>
    </row>
    <row r="28" customFormat="false" ht="15" hidden="false" customHeight="false" outlineLevel="0" collapsed="false">
      <c r="B28" s="5" t="s">
        <v>33</v>
      </c>
      <c r="C28" s="6" t="s">
        <v>34</v>
      </c>
    </row>
    <row r="29" customFormat="false" ht="15" hidden="false" customHeight="false" outlineLevel="0" collapsed="false">
      <c r="B29" s="5" t="s">
        <v>35</v>
      </c>
      <c r="C29" s="6" t="s">
        <v>36</v>
      </c>
    </row>
    <row r="30" customFormat="false" ht="15" hidden="false" customHeight="false" outlineLevel="0" collapsed="false">
      <c r="B30" s="5" t="s">
        <v>37</v>
      </c>
      <c r="C30" s="6" t="s">
        <v>38</v>
      </c>
    </row>
    <row r="32" customFormat="false" ht="17.35" hidden="false" customHeight="false" outlineLevel="0" collapsed="false">
      <c r="B32" s="3" t="s">
        <v>39</v>
      </c>
      <c r="C32" s="3"/>
    </row>
    <row r="33" customFormat="false" ht="15" hidden="false" customHeight="false" outlineLevel="0" collapsed="false">
      <c r="B33" s="7" t="s">
        <v>40</v>
      </c>
      <c r="C33" s="8" t="s">
        <v>41</v>
      </c>
    </row>
    <row r="34" customFormat="false" ht="15" hidden="false" customHeight="false" outlineLevel="0" collapsed="false">
      <c r="B34" s="9" t="s">
        <v>42</v>
      </c>
      <c r="C34" s="8" t="s">
        <v>43</v>
      </c>
    </row>
    <row r="35" customFormat="false" ht="15" hidden="false" customHeight="false" outlineLevel="0" collapsed="false">
      <c r="B35" s="10" t="s">
        <v>44</v>
      </c>
      <c r="C35" s="8" t="s">
        <v>45</v>
      </c>
    </row>
    <row r="36" customFormat="false" ht="15" hidden="false" customHeight="false" outlineLevel="0" collapsed="false">
      <c r="B36" s="11" t="s">
        <v>46</v>
      </c>
      <c r="C36" s="8" t="s">
        <v>47</v>
      </c>
    </row>
  </sheetData>
  <mergeCells count="8">
    <mergeCell ref="B2:C4"/>
    <mergeCell ref="B5:C5"/>
    <mergeCell ref="B7:C7"/>
    <mergeCell ref="B8:C8"/>
    <mergeCell ref="B10:C10"/>
    <mergeCell ref="B18:C18"/>
    <mergeCell ref="B25:C25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8"/>
  </cols>
  <sheetData>
    <row r="2" customFormat="false" ht="30" hidden="false" customHeight="true" outlineLevel="0" collapsed="false">
      <c r="B2" s="12" t="s">
        <v>48</v>
      </c>
      <c r="C2" s="12"/>
      <c r="D2" s="12"/>
      <c r="E2" s="12"/>
      <c r="F2" s="12"/>
      <c r="G2" s="12"/>
    </row>
    <row r="4" customFormat="false" ht="24.75" hidden="false" customHeight="true" outlineLevel="0" collapsed="false">
      <c r="B4" s="13" t="s">
        <v>49</v>
      </c>
      <c r="C4" s="13"/>
      <c r="D4" s="13"/>
      <c r="E4" s="13"/>
      <c r="F4" s="13"/>
      <c r="G4" s="13"/>
    </row>
    <row r="6" customFormat="false" ht="15" hidden="false" customHeight="false" outlineLevel="0" collapsed="false">
      <c r="B6" s="14" t="s">
        <v>50</v>
      </c>
      <c r="C6" s="14" t="s">
        <v>51</v>
      </c>
      <c r="D6" s="14" t="s">
        <v>52</v>
      </c>
      <c r="E6" s="14" t="s">
        <v>53</v>
      </c>
      <c r="F6" s="14" t="s">
        <v>54</v>
      </c>
      <c r="G6" s="14" t="s">
        <v>55</v>
      </c>
      <c r="H6" s="14" t="s">
        <v>56</v>
      </c>
    </row>
    <row r="7" customFormat="false" ht="15" hidden="false" customHeight="false" outlineLevel="0" collapsed="false">
      <c r="B7" s="15" t="n">
        <v>1</v>
      </c>
      <c r="C7" s="16" t="n">
        <v>543</v>
      </c>
      <c r="D7" s="17" t="n">
        <v>0.2634</v>
      </c>
      <c r="E7" s="18" t="n">
        <v>32040</v>
      </c>
      <c r="F7" s="19" t="n">
        <v>3</v>
      </c>
      <c r="G7" s="20" t="n">
        <f aca="false">C7*D7</f>
        <v>143.0262</v>
      </c>
    </row>
    <row r="8" customFormat="false" ht="15" hidden="false" customHeight="false" outlineLevel="0" collapsed="false">
      <c r="B8" s="15" t="n">
        <v>2</v>
      </c>
      <c r="C8" s="16" t="n">
        <v>534</v>
      </c>
      <c r="D8" s="17" t="n">
        <v>0.0974</v>
      </c>
      <c r="E8" s="18" t="n">
        <v>64080</v>
      </c>
      <c r="F8" s="19" t="n">
        <v>6</v>
      </c>
      <c r="G8" s="20" t="n">
        <f aca="false">C8*D8</f>
        <v>52.0116</v>
      </c>
    </row>
    <row r="9" customFormat="false" ht="15" hidden="false" customHeight="false" outlineLevel="0" collapsed="false">
      <c r="B9" s="15" t="n">
        <v>3</v>
      </c>
      <c r="C9" s="16" t="n">
        <v>218</v>
      </c>
      <c r="D9" s="17" t="n">
        <v>0.1468</v>
      </c>
      <c r="E9" s="18" t="n">
        <v>119760</v>
      </c>
      <c r="F9" s="19" t="n">
        <v>9</v>
      </c>
      <c r="G9" s="20" t="n">
        <f aca="false">C9*D9</f>
        <v>32.0024</v>
      </c>
    </row>
    <row r="10" customFormat="false" ht="15" hidden="false" customHeight="false" outlineLevel="0" collapsed="false">
      <c r="B10" s="15" t="n">
        <v>4</v>
      </c>
      <c r="C10" s="16" t="n">
        <v>106</v>
      </c>
      <c r="D10" s="17" t="n">
        <v>0.0472</v>
      </c>
      <c r="E10" s="18" t="n">
        <v>193848</v>
      </c>
      <c r="F10" s="19" t="n">
        <v>12.5</v>
      </c>
      <c r="G10" s="20" t="n">
        <f aca="false">C10*D10</f>
        <v>5.0032</v>
      </c>
    </row>
    <row r="11" customFormat="false" ht="15" hidden="false" customHeight="false" outlineLevel="0" collapsed="false">
      <c r="B11" s="15" t="n">
        <v>5</v>
      </c>
      <c r="C11" s="16" t="n">
        <v>69</v>
      </c>
      <c r="D11" s="17" t="n">
        <v>0.0725</v>
      </c>
      <c r="E11" s="18" t="n">
        <v>230784</v>
      </c>
      <c r="F11" s="19" t="n">
        <v>18</v>
      </c>
      <c r="G11" s="20" t="n">
        <f aca="false">C11*D11</f>
        <v>5.0025</v>
      </c>
    </row>
    <row r="12" customFormat="false" ht="15" hidden="false" customHeight="false" outlineLevel="0" collapsed="false">
      <c r="B12" s="21" t="s">
        <v>57</v>
      </c>
      <c r="C12" s="22" t="n">
        <f aca="false">SUM(C7:C11)</f>
        <v>1470</v>
      </c>
      <c r="D12" s="23" t="n">
        <f aca="false">SUMPRODUCT(C7:C11,D7:D11)/SUM(C7:C11)</f>
        <v>0.161255714285714</v>
      </c>
      <c r="G12" s="24" t="n">
        <f aca="false">SUM(G7:G11)</f>
        <v>237.0459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10" min="3" style="0" width="16"/>
  </cols>
  <sheetData>
    <row r="2" customFormat="false" ht="30" hidden="false" customHeight="true" outlineLevel="0" collapsed="false">
      <c r="B2" s="12" t="s">
        <v>58</v>
      </c>
      <c r="C2" s="12"/>
      <c r="D2" s="12"/>
      <c r="E2" s="12"/>
      <c r="F2" s="12"/>
      <c r="G2" s="12"/>
      <c r="H2" s="12"/>
      <c r="I2" s="12"/>
    </row>
    <row r="4" customFormat="false" ht="24.75" hidden="false" customHeight="true" outlineLevel="0" collapsed="false">
      <c r="B4" s="13" t="s">
        <v>59</v>
      </c>
      <c r="C4" s="13"/>
      <c r="D4" s="13"/>
      <c r="E4" s="13"/>
      <c r="F4" s="13"/>
      <c r="G4" s="13"/>
      <c r="H4" s="13"/>
      <c r="I4" s="13"/>
    </row>
    <row r="6" customFormat="false" ht="15" hidden="false" customHeight="false" outlineLevel="0" collapsed="false">
      <c r="B6" s="14" t="s">
        <v>60</v>
      </c>
      <c r="C6" s="14" t="s">
        <v>51</v>
      </c>
      <c r="D6" s="14" t="s">
        <v>61</v>
      </c>
      <c r="E6" s="14" t="s">
        <v>62</v>
      </c>
      <c r="F6" s="14" t="s">
        <v>63</v>
      </c>
      <c r="G6" s="14" t="s">
        <v>64</v>
      </c>
      <c r="H6" s="14" t="s">
        <v>65</v>
      </c>
      <c r="I6" s="14" t="s">
        <v>66</v>
      </c>
      <c r="J6" s="14" t="s">
        <v>67</v>
      </c>
    </row>
    <row r="7" customFormat="false" ht="15" hidden="false" customHeight="false" outlineLevel="0" collapsed="false">
      <c r="B7" s="8" t="s">
        <v>68</v>
      </c>
      <c r="C7" s="16" t="n">
        <v>83</v>
      </c>
      <c r="D7" s="18" t="n">
        <v>30948</v>
      </c>
      <c r="E7" s="17" t="n">
        <v>0.6024</v>
      </c>
      <c r="F7" s="25" t="n">
        <f aca="false">1/E7</f>
        <v>1.66002656042497</v>
      </c>
      <c r="G7" s="19" t="n">
        <v>2</v>
      </c>
      <c r="H7" s="25" t="n">
        <f aca="false">G7/5</f>
        <v>0.4</v>
      </c>
      <c r="I7" s="26" t="n">
        <f aca="false">D7*F7/H7</f>
        <v>128436.25498008</v>
      </c>
      <c r="J7" s="27" t="n">
        <f aca="false">I7/60000</f>
        <v>2.14060424966799</v>
      </c>
    </row>
    <row r="8" customFormat="false" ht="15" hidden="false" customHeight="false" outlineLevel="0" collapsed="false">
      <c r="B8" s="8" t="s">
        <v>69</v>
      </c>
      <c r="C8" s="16" t="n">
        <v>80</v>
      </c>
      <c r="D8" s="18" t="n">
        <v>198120</v>
      </c>
      <c r="E8" s="17" t="n">
        <v>0.975</v>
      </c>
      <c r="F8" s="25" t="n">
        <f aca="false">1/E8</f>
        <v>1.02564102564103</v>
      </c>
      <c r="G8" s="19" t="n">
        <v>9</v>
      </c>
      <c r="H8" s="25" t="n">
        <f aca="false">G8/5</f>
        <v>1.8</v>
      </c>
      <c r="I8" s="26" t="n">
        <f aca="false">D8*F8/H8</f>
        <v>112888.888888889</v>
      </c>
      <c r="J8" s="27" t="n">
        <f aca="false">I8/60000</f>
        <v>1.88148148148148</v>
      </c>
    </row>
    <row r="9" customFormat="false" ht="15" hidden="false" customHeight="false" outlineLevel="0" collapsed="false">
      <c r="B9" s="8" t="s">
        <v>70</v>
      </c>
      <c r="C9" s="16" t="n">
        <v>102</v>
      </c>
      <c r="D9" s="18" t="n">
        <v>209454</v>
      </c>
      <c r="E9" s="17" t="n">
        <v>0.951</v>
      </c>
      <c r="F9" s="25" t="n">
        <f aca="false">1/E9</f>
        <v>1.0515247108307</v>
      </c>
      <c r="G9" s="19" t="n">
        <v>12.5</v>
      </c>
      <c r="H9" s="25" t="n">
        <f aca="false">G9/5</f>
        <v>2.5</v>
      </c>
      <c r="I9" s="26" t="n">
        <f aca="false">D9*F9/H9</f>
        <v>88098.4227129338</v>
      </c>
      <c r="J9" s="27" t="n">
        <f aca="false">I9/60000</f>
        <v>1.46830704521556</v>
      </c>
    </row>
    <row r="10" customFormat="false" ht="15" hidden="false" customHeight="false" outlineLevel="0" collapsed="false">
      <c r="B10" s="8" t="s">
        <v>71</v>
      </c>
      <c r="C10" s="16" t="n">
        <v>326</v>
      </c>
      <c r="D10" s="18" t="n">
        <v>74772</v>
      </c>
      <c r="E10" s="17" t="n">
        <v>0.8252</v>
      </c>
      <c r="F10" s="25" t="n">
        <f aca="false">1/E10</f>
        <v>1.21182743577315</v>
      </c>
      <c r="G10" s="19" t="n">
        <v>7</v>
      </c>
      <c r="H10" s="25" t="n">
        <f aca="false">G10/5</f>
        <v>1.4</v>
      </c>
      <c r="I10" s="26" t="n">
        <f aca="false">D10*F10/H10</f>
        <v>64721.9721625926</v>
      </c>
      <c r="J10" s="27" t="n">
        <f aca="false">I10/60000</f>
        <v>1.07869953604321</v>
      </c>
    </row>
    <row r="11" customFormat="false" ht="15" hidden="false" customHeight="false" outlineLevel="0" collapsed="false">
      <c r="B11" s="8" t="s">
        <v>72</v>
      </c>
      <c r="C11" s="16" t="n">
        <v>131</v>
      </c>
      <c r="D11" s="18" t="n">
        <v>81732</v>
      </c>
      <c r="E11" s="17" t="n">
        <v>0.9313</v>
      </c>
      <c r="F11" s="25" t="n">
        <f aca="false">1/E11</f>
        <v>1.07376785139053</v>
      </c>
      <c r="G11" s="19" t="n">
        <v>7</v>
      </c>
      <c r="H11" s="25" t="n">
        <f aca="false">G11/5</f>
        <v>1.4</v>
      </c>
      <c r="I11" s="26" t="n">
        <f aca="false">D11*F11/H11</f>
        <v>62686.5671641791</v>
      </c>
      <c r="J11" s="27" t="n">
        <f aca="false">I11/60000</f>
        <v>1.04477611940299</v>
      </c>
    </row>
    <row r="12" customFormat="false" ht="15" hidden="false" customHeight="false" outlineLevel="0" collapsed="false">
      <c r="B12" s="8" t="s">
        <v>73</v>
      </c>
      <c r="C12" s="16" t="n">
        <v>145</v>
      </c>
      <c r="D12" s="18" t="n">
        <v>77364</v>
      </c>
      <c r="E12" s="17" t="n">
        <v>0.931</v>
      </c>
      <c r="F12" s="25" t="n">
        <f aca="false">1/E12</f>
        <v>1.07411385606874</v>
      </c>
      <c r="G12" s="19" t="n">
        <v>7</v>
      </c>
      <c r="H12" s="25" t="n">
        <f aca="false">G12/5</f>
        <v>1.4</v>
      </c>
      <c r="I12" s="26" t="n">
        <f aca="false">D12*F12/H12</f>
        <v>59355.5316863588</v>
      </c>
      <c r="J12" s="27" t="n">
        <f aca="false">I12/60000</f>
        <v>0.989258861439313</v>
      </c>
    </row>
    <row r="13" customFormat="false" ht="15" hidden="false" customHeight="false" outlineLevel="0" collapsed="false">
      <c r="B13" s="8" t="s">
        <v>74</v>
      </c>
      <c r="C13" s="16" t="n">
        <v>259</v>
      </c>
      <c r="D13" s="18" t="n">
        <v>34632</v>
      </c>
      <c r="E13" s="17" t="n">
        <v>0.7606</v>
      </c>
      <c r="F13" s="25" t="n">
        <f aca="false">1/E13</f>
        <v>1.31475151196424</v>
      </c>
      <c r="G13" s="19" t="n">
        <v>4</v>
      </c>
      <c r="H13" s="25" t="n">
        <f aca="false">G13/5</f>
        <v>0.8</v>
      </c>
      <c r="I13" s="26" t="n">
        <f aca="false">D13*F13/H13</f>
        <v>56915.5929529319</v>
      </c>
      <c r="J13" s="27" t="n">
        <f aca="false">I13/60000</f>
        <v>0.948593215882198</v>
      </c>
    </row>
    <row r="14" customFormat="false" ht="15" hidden="false" customHeight="false" outlineLevel="0" collapsed="false">
      <c r="B14" s="8" t="s">
        <v>75</v>
      </c>
      <c r="C14" s="16" t="n">
        <v>52</v>
      </c>
      <c r="D14" s="18" t="n">
        <v>37116</v>
      </c>
      <c r="E14" s="17" t="n">
        <v>0.7692</v>
      </c>
      <c r="F14" s="25" t="n">
        <f aca="false">1/E14</f>
        <v>1.30005200208008</v>
      </c>
      <c r="G14" s="19" t="n">
        <v>5</v>
      </c>
      <c r="H14" s="25" t="n">
        <f aca="false">G14/5</f>
        <v>1</v>
      </c>
      <c r="I14" s="26" t="n">
        <f aca="false">D14*F14/H14</f>
        <v>48252.7301092044</v>
      </c>
      <c r="J14" s="27" t="n">
        <f aca="false">I14/60000</f>
        <v>0.80421216848674</v>
      </c>
    </row>
    <row r="15" customFormat="false" ht="15" hidden="false" customHeight="false" outlineLevel="0" collapsed="false">
      <c r="B15" s="8" t="s">
        <v>76</v>
      </c>
      <c r="C15" s="16" t="n">
        <v>292</v>
      </c>
      <c r="D15" s="18" t="n">
        <v>34650</v>
      </c>
      <c r="E15" s="17" t="n">
        <v>0.839</v>
      </c>
      <c r="F15" s="25" t="n">
        <f aca="false">1/E15</f>
        <v>1.19189511323004</v>
      </c>
      <c r="G15" s="19" t="n">
        <v>4.5</v>
      </c>
      <c r="H15" s="25" t="n">
        <f aca="false">G15/5</f>
        <v>0.9</v>
      </c>
      <c r="I15" s="26" t="n">
        <f aca="false">D15*F15/H15</f>
        <v>45887.9618593564</v>
      </c>
      <c r="J15" s="27" t="n">
        <f aca="false">I15/60000</f>
        <v>0.764799364322606</v>
      </c>
    </row>
  </sheetData>
  <mergeCells count="2">
    <mergeCell ref="B2:I2"/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0"/>
  </cols>
  <sheetData>
    <row r="2" customFormat="false" ht="30" hidden="false" customHeight="true" outlineLevel="0" collapsed="false">
      <c r="B2" s="12" t="s">
        <v>77</v>
      </c>
      <c r="C2" s="12"/>
      <c r="D2" s="12"/>
      <c r="E2" s="12"/>
    </row>
    <row r="4" customFormat="false" ht="15" hidden="false" customHeight="false" outlineLevel="0" collapsed="false">
      <c r="B4" s="28" t="s">
        <v>78</v>
      </c>
      <c r="C4" s="28"/>
      <c r="D4" s="28"/>
      <c r="E4" s="28"/>
    </row>
    <row r="5" customFormat="false" ht="15" hidden="false" customHeight="false" outlineLevel="0" collapsed="false">
      <c r="B5" s="29" t="s">
        <v>79</v>
      </c>
      <c r="C5" s="29" t="s">
        <v>80</v>
      </c>
      <c r="D5" s="29" t="s">
        <v>81</v>
      </c>
      <c r="E5" s="29" t="s">
        <v>82</v>
      </c>
    </row>
    <row r="6" customFormat="false" ht="15" hidden="false" customHeight="false" outlineLevel="0" collapsed="false">
      <c r="B6" s="8" t="s">
        <v>83</v>
      </c>
      <c r="C6" s="30" t="n">
        <v>0.04</v>
      </c>
      <c r="D6" s="31" t="s">
        <v>84</v>
      </c>
      <c r="E6" s="31" t="s">
        <v>85</v>
      </c>
    </row>
    <row r="7" customFormat="false" ht="15" hidden="false" customHeight="false" outlineLevel="0" collapsed="false">
      <c r="B7" s="8" t="s">
        <v>86</v>
      </c>
      <c r="C7" s="30" t="n">
        <v>0.07</v>
      </c>
      <c r="D7" s="31" t="s">
        <v>84</v>
      </c>
      <c r="E7" s="31" t="s">
        <v>87</v>
      </c>
    </row>
    <row r="8" customFormat="false" ht="15" hidden="false" customHeight="false" outlineLevel="0" collapsed="false">
      <c r="B8" s="8" t="s">
        <v>88</v>
      </c>
      <c r="C8" s="32" t="n">
        <v>1.5</v>
      </c>
      <c r="D8" s="31" t="s">
        <v>89</v>
      </c>
      <c r="E8" s="31" t="s">
        <v>90</v>
      </c>
    </row>
    <row r="9" customFormat="false" ht="15" hidden="false" customHeight="false" outlineLevel="0" collapsed="false">
      <c r="B9" s="8" t="s">
        <v>91</v>
      </c>
      <c r="C9" s="33" t="n">
        <v>5000</v>
      </c>
      <c r="D9" s="31" t="s">
        <v>92</v>
      </c>
      <c r="E9" s="31" t="s">
        <v>93</v>
      </c>
    </row>
    <row r="10" customFormat="false" ht="15" hidden="false" customHeight="false" outlineLevel="0" collapsed="false">
      <c r="B10" s="8" t="s">
        <v>94</v>
      </c>
      <c r="C10" s="34" t="n">
        <v>0.15</v>
      </c>
      <c r="D10" s="31" t="s">
        <v>95</v>
      </c>
      <c r="E10" s="31" t="s">
        <v>96</v>
      </c>
    </row>
    <row r="11" customFormat="false" ht="15" hidden="false" customHeight="false" outlineLevel="0" collapsed="false">
      <c r="B11" s="8" t="s">
        <v>97</v>
      </c>
      <c r="C11" s="34" t="n">
        <v>0.02</v>
      </c>
      <c r="D11" s="31" t="s">
        <v>98</v>
      </c>
      <c r="E11" s="31" t="s">
        <v>99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5" min="3" style="0" width="22"/>
  </cols>
  <sheetData>
    <row r="2" customFormat="false" ht="30" hidden="false" customHeight="true" outlineLevel="0" collapsed="false">
      <c r="B2" s="12" t="s">
        <v>100</v>
      </c>
      <c r="C2" s="12"/>
      <c r="D2" s="12"/>
      <c r="E2" s="12"/>
    </row>
    <row r="4" customFormat="false" ht="15" hidden="false" customHeight="false" outlineLevel="0" collapsed="false">
      <c r="B4" s="14" t="s">
        <v>79</v>
      </c>
      <c r="C4" s="14" t="s">
        <v>101</v>
      </c>
      <c r="D4" s="14" t="s">
        <v>102</v>
      </c>
      <c r="E4" s="14" t="s">
        <v>103</v>
      </c>
    </row>
    <row r="5" customFormat="false" ht="15" hidden="false" customHeight="false" outlineLevel="0" collapsed="false">
      <c r="B5" s="8" t="s">
        <v>104</v>
      </c>
      <c r="C5" s="35" t="n">
        <f aca="false">WageInfl_Base</f>
        <v>0.04</v>
      </c>
      <c r="D5" s="35" t="n">
        <f aca="false">WageInfl_High</f>
        <v>0.07</v>
      </c>
      <c r="E5" s="35" t="n">
        <f aca="false">WageInfl_Base</f>
        <v>0.04</v>
      </c>
    </row>
    <row r="6" customFormat="false" ht="15" hidden="false" customHeight="false" outlineLevel="0" collapsed="false">
      <c r="B6" s="8" t="s">
        <v>105</v>
      </c>
      <c r="C6" s="17" t="n">
        <v>0</v>
      </c>
      <c r="D6" s="35" t="n">
        <f aca="false">Attr_Rise_Infl</f>
        <v>0.02</v>
      </c>
      <c r="E6" s="17" t="n">
        <v>0</v>
      </c>
    </row>
    <row r="7" customFormat="false" ht="15" hidden="false" customHeight="false" outlineLevel="0" collapsed="false">
      <c r="B7" s="8" t="s">
        <v>106</v>
      </c>
      <c r="C7" s="35" t="n">
        <f aca="false">VLOOKUP(1,Headcount!B7:D11,3,FALSE())</f>
        <v>0.2634</v>
      </c>
      <c r="D7" s="35" t="n">
        <f aca="false">VLOOKUP(1,Headcount!B7:D11,3,FALSE())+Attr_Rise_Infl</f>
        <v>0.2834</v>
      </c>
      <c r="E7" s="35" t="n">
        <f aca="false">Target_Attr_L1</f>
        <v>0.15</v>
      </c>
    </row>
    <row r="8" customFormat="false" ht="15" hidden="false" customHeight="false" outlineLevel="0" collapsed="false">
      <c r="B8" s="8" t="s">
        <v>107</v>
      </c>
      <c r="C8" s="18" t="n">
        <v>0</v>
      </c>
      <c r="D8" s="18" t="n">
        <v>0</v>
      </c>
      <c r="E8" s="36" t="n">
        <f aca="false">Retention_Invest</f>
        <v>5000</v>
      </c>
    </row>
    <row r="10" customFormat="false" ht="15" hidden="false" customHeight="false" outlineLevel="0" collapsed="false">
      <c r="B10" s="9" t="s">
        <v>108</v>
      </c>
      <c r="C10" s="37" t="n">
        <v>1</v>
      </c>
      <c r="D10" s="31" t="s">
        <v>109</v>
      </c>
    </row>
    <row r="11" customFormat="false" ht="15" hidden="false" customHeight="false" outlineLevel="0" collapsed="false">
      <c r="B11" s="9" t="s">
        <v>110</v>
      </c>
      <c r="C11" s="38" t="n">
        <f aca="false">INDEX(C5:E5, $C$10)</f>
        <v>0.04</v>
      </c>
    </row>
    <row r="12" customFormat="false" ht="15" hidden="false" customHeight="false" outlineLevel="0" collapsed="false">
      <c r="B12" s="9" t="s">
        <v>111</v>
      </c>
      <c r="C12" s="38" t="n">
        <f aca="false">INDEX(C6:E6, $C$10)</f>
        <v>0</v>
      </c>
    </row>
    <row r="13" customFormat="false" ht="15" hidden="false" customHeight="false" outlineLevel="0" collapsed="false">
      <c r="B13" s="9" t="s">
        <v>112</v>
      </c>
      <c r="C13" s="38" t="n">
        <f aca="false">INDEX(C7:E7, $C$10)</f>
        <v>0.2634</v>
      </c>
    </row>
    <row r="14" customFormat="false" ht="15" hidden="false" customHeight="false" outlineLevel="0" collapsed="false">
      <c r="B14" s="9" t="s">
        <v>113</v>
      </c>
      <c r="C14" s="26" t="n">
        <f aca="false">INDEX(C8:E8, $C$10)</f>
        <v>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11" min="3" style="0" width="15"/>
  </cols>
  <sheetData>
    <row r="2" customFormat="false" ht="30" hidden="false" customHeight="true" outlineLevel="0" collapsed="false">
      <c r="B2" s="12" t="s">
        <v>114</v>
      </c>
      <c r="C2" s="12"/>
      <c r="D2" s="12"/>
      <c r="E2" s="12"/>
      <c r="F2" s="12"/>
      <c r="G2" s="12"/>
      <c r="H2" s="12"/>
      <c r="I2" s="12"/>
      <c r="J2" s="12"/>
      <c r="K2" s="12"/>
    </row>
    <row r="4" customFormat="false" ht="24.75" hidden="false" customHeight="true" outlineLevel="0" collapsed="false">
      <c r="B4" s="13" t="s">
        <v>115</v>
      </c>
      <c r="C4" s="13"/>
      <c r="D4" s="13"/>
      <c r="E4" s="13"/>
      <c r="F4" s="13"/>
      <c r="G4" s="13"/>
      <c r="H4" s="13"/>
      <c r="I4" s="13"/>
      <c r="J4" s="13"/>
      <c r="K4" s="13"/>
    </row>
    <row r="6" customFormat="false" ht="15" hidden="false" customHeight="false" outlineLevel="0" collapsed="false">
      <c r="B6" s="14" t="s">
        <v>50</v>
      </c>
      <c r="C6" s="14" t="s">
        <v>51</v>
      </c>
      <c r="D6" s="14" t="s">
        <v>116</v>
      </c>
      <c r="E6" s="14" t="s">
        <v>117</v>
      </c>
      <c r="F6" s="14" t="s">
        <v>118</v>
      </c>
      <c r="G6" s="14" t="s">
        <v>119</v>
      </c>
      <c r="H6" s="14" t="s">
        <v>120</v>
      </c>
      <c r="I6" s="14" t="s">
        <v>121</v>
      </c>
      <c r="J6" s="14" t="s">
        <v>122</v>
      </c>
    </row>
    <row r="7" customFormat="false" ht="15" hidden="false" customHeight="false" outlineLevel="0" collapsed="false">
      <c r="B7" s="15" t="n">
        <v>1</v>
      </c>
      <c r="C7" s="39" t="n">
        <f aca="false">Headcount!C7</f>
        <v>543</v>
      </c>
      <c r="D7" s="40" t="n">
        <f aca="false">Active_JL1_Attr</f>
        <v>0.2634</v>
      </c>
      <c r="E7" s="36" t="n">
        <f aca="false">Headcount!E7</f>
        <v>32040</v>
      </c>
      <c r="F7" s="41" t="n">
        <f aca="false">C7*D7*E7*Replace_Mult</f>
        <v>6873839.172</v>
      </c>
      <c r="G7" s="41" t="n">
        <f aca="false">C7*D7*E7*(1+Active_WageInfl)^1*Replace_Mult</f>
        <v>7148792.73888</v>
      </c>
      <c r="H7" s="41" t="n">
        <f aca="false">C7*D7*E7*(1+Active_WageInfl)^2*Replace_Mult</f>
        <v>7434744.4484352</v>
      </c>
      <c r="I7" s="41" t="n">
        <f aca="false">C7*D7*E7*(1+Active_WageInfl)^3*Replace_Mult</f>
        <v>7732134.22637261</v>
      </c>
      <c r="J7" s="26" t="n">
        <f aca="false">SUM(F7:I7)</f>
        <v>29189510.5856878</v>
      </c>
    </row>
    <row r="8" customFormat="false" ht="15" hidden="false" customHeight="false" outlineLevel="0" collapsed="false">
      <c r="B8" s="15" t="n">
        <v>2</v>
      </c>
      <c r="C8" s="39" t="n">
        <f aca="false">Headcount!C8</f>
        <v>534</v>
      </c>
      <c r="D8" s="40" t="n">
        <f aca="false">Headcount!D8+Active_AttrShift</f>
        <v>0.0974</v>
      </c>
      <c r="E8" s="36" t="n">
        <f aca="false">Headcount!E8</f>
        <v>64080</v>
      </c>
      <c r="F8" s="41" t="n">
        <f aca="false">C8*D8*E8*Replace_Mult</f>
        <v>4999354.992</v>
      </c>
      <c r="G8" s="41" t="n">
        <f aca="false">C8*D8*E8*(1+Active_WageInfl)^1*Replace_Mult</f>
        <v>5199329.19168</v>
      </c>
      <c r="H8" s="41" t="n">
        <f aca="false">C8*D8*E8*(1+Active_WageInfl)^2*Replace_Mult</f>
        <v>5407302.3593472</v>
      </c>
      <c r="I8" s="41" t="n">
        <f aca="false">C8*D8*E8*(1+Active_WageInfl)^3*Replace_Mult</f>
        <v>5623594.45372109</v>
      </c>
      <c r="J8" s="26" t="n">
        <f aca="false">SUM(F8:I8)</f>
        <v>21229580.9967483</v>
      </c>
    </row>
    <row r="9" customFormat="false" ht="15" hidden="false" customHeight="false" outlineLevel="0" collapsed="false">
      <c r="B9" s="15" t="n">
        <v>3</v>
      </c>
      <c r="C9" s="39" t="n">
        <f aca="false">Headcount!C9</f>
        <v>218</v>
      </c>
      <c r="D9" s="40" t="n">
        <f aca="false">Headcount!D9+Active_AttrShift</f>
        <v>0.1468</v>
      </c>
      <c r="E9" s="36" t="n">
        <f aca="false">Headcount!E9</f>
        <v>119760</v>
      </c>
      <c r="F9" s="41" t="n">
        <f aca="false">C9*D9*E9*Replace_Mult</f>
        <v>5748911.136</v>
      </c>
      <c r="G9" s="41" t="n">
        <f aca="false">C9*D9*E9*(1+Active_WageInfl)^1*Replace_Mult</f>
        <v>5978867.58144</v>
      </c>
      <c r="H9" s="41" t="n">
        <f aca="false">C9*D9*E9*(1+Active_WageInfl)^2*Replace_Mult</f>
        <v>6218022.2846976</v>
      </c>
      <c r="I9" s="41" t="n">
        <f aca="false">C9*D9*E9*(1+Active_WageInfl)^3*Replace_Mult</f>
        <v>6466743.17608551</v>
      </c>
      <c r="J9" s="26" t="n">
        <f aca="false">SUM(F9:I9)</f>
        <v>24412544.1782231</v>
      </c>
    </row>
    <row r="10" customFormat="false" ht="15" hidden="false" customHeight="false" outlineLevel="0" collapsed="false">
      <c r="B10" s="15" t="n">
        <v>4</v>
      </c>
      <c r="C10" s="39" t="n">
        <f aca="false">Headcount!C10</f>
        <v>106</v>
      </c>
      <c r="D10" s="40" t="n">
        <f aca="false">Headcount!D10+Active_AttrShift</f>
        <v>0.0472</v>
      </c>
      <c r="E10" s="36" t="n">
        <f aca="false">Headcount!E10</f>
        <v>193848</v>
      </c>
      <c r="F10" s="41" t="n">
        <f aca="false">C10*D10*E10*Replace_Mult</f>
        <v>1454790.4704</v>
      </c>
      <c r="G10" s="41" t="n">
        <f aca="false">C10*D10*E10*(1+Active_WageInfl)^1*Replace_Mult</f>
        <v>1512982.089216</v>
      </c>
      <c r="H10" s="41" t="n">
        <f aca="false">C10*D10*E10*(1+Active_WageInfl)^2*Replace_Mult</f>
        <v>1573501.37278464</v>
      </c>
      <c r="I10" s="41" t="n">
        <f aca="false">C10*D10*E10*(1+Active_WageInfl)^3*Replace_Mult</f>
        <v>1636441.42769603</v>
      </c>
      <c r="J10" s="26" t="n">
        <f aca="false">SUM(F10:I10)</f>
        <v>6177715.36009667</v>
      </c>
    </row>
    <row r="11" customFormat="false" ht="15" hidden="false" customHeight="false" outlineLevel="0" collapsed="false">
      <c r="B11" s="15" t="n">
        <v>5</v>
      </c>
      <c r="C11" s="39" t="n">
        <f aca="false">Headcount!C11</f>
        <v>69</v>
      </c>
      <c r="D11" s="40" t="n">
        <f aca="false">Headcount!D11+Active_AttrShift</f>
        <v>0.0725</v>
      </c>
      <c r="E11" s="36" t="n">
        <f aca="false">Headcount!E11</f>
        <v>230784</v>
      </c>
      <c r="F11" s="41" t="n">
        <f aca="false">C11*D11*E11*Replace_Mult</f>
        <v>1731745.44</v>
      </c>
      <c r="G11" s="41" t="n">
        <f aca="false">C11*D11*E11*(1+Active_WageInfl)^1*Replace_Mult</f>
        <v>1801015.2576</v>
      </c>
      <c r="H11" s="41" t="n">
        <f aca="false">C11*D11*E11*(1+Active_WageInfl)^2*Replace_Mult</f>
        <v>1873055.867904</v>
      </c>
      <c r="I11" s="41" t="n">
        <f aca="false">C11*D11*E11*(1+Active_WageInfl)^3*Replace_Mult</f>
        <v>1947978.10262016</v>
      </c>
      <c r="J11" s="26" t="n">
        <f aca="false">SUM(F11:I11)</f>
        <v>7353794.66812416</v>
      </c>
    </row>
    <row r="12" customFormat="false" ht="15" hidden="false" customHeight="false" outlineLevel="0" collapsed="false">
      <c r="B12" s="42" t="s">
        <v>123</v>
      </c>
      <c r="C12" s="22" t="n">
        <f aca="false">SUM(C7:C11)</f>
        <v>1470</v>
      </c>
      <c r="F12" s="43" t="n">
        <f aca="false">SUM(F7:F11)</f>
        <v>20808641.2104</v>
      </c>
      <c r="G12" s="43" t="n">
        <f aca="false">SUM(G7:G11)</f>
        <v>21640986.858816</v>
      </c>
      <c r="H12" s="43" t="n">
        <f aca="false">SUM(H7:H11)</f>
        <v>22506626.3331686</v>
      </c>
      <c r="I12" s="43" t="n">
        <f aca="false">SUM(I7:I11)</f>
        <v>23406891.3864954</v>
      </c>
      <c r="J12" s="43" t="n">
        <f aca="false">SUM(J7:J11)</f>
        <v>88363145.78888</v>
      </c>
    </row>
    <row r="13" customFormat="false" ht="15" hidden="false" customHeight="false" outlineLevel="0" collapsed="false">
      <c r="B13" s="8" t="s">
        <v>124</v>
      </c>
      <c r="F13" s="41" t="n">
        <f aca="false">C7*Active_Retention</f>
        <v>0</v>
      </c>
      <c r="G13" s="41" t="n">
        <f aca="false">C7*Active_Retention</f>
        <v>0</v>
      </c>
      <c r="H13" s="41" t="n">
        <f aca="false">C7*Active_Retention</f>
        <v>0</v>
      </c>
      <c r="I13" s="41" t="n">
        <f aca="false">C7*Active_Retention</f>
        <v>0</v>
      </c>
      <c r="J13" s="41" t="n">
        <f aca="false">SUM(F13:I13)</f>
        <v>0</v>
      </c>
    </row>
    <row r="14" customFormat="false" ht="15" hidden="false" customHeight="false" outlineLevel="0" collapsed="false">
      <c r="B14" s="42" t="s">
        <v>125</v>
      </c>
      <c r="F14" s="43" t="n">
        <f aca="false">F12+F13</f>
        <v>20808641.2104</v>
      </c>
      <c r="G14" s="43" t="n">
        <f aca="false">G12+G13</f>
        <v>21640986.858816</v>
      </c>
      <c r="H14" s="43" t="n">
        <f aca="false">H12+H13</f>
        <v>22506626.3331686</v>
      </c>
      <c r="I14" s="43" t="n">
        <f aca="false">I12+I13</f>
        <v>23406891.3864954</v>
      </c>
      <c r="J14" s="43" t="n">
        <f aca="false">J12+J13</f>
        <v>88363145.78888</v>
      </c>
    </row>
  </sheetData>
  <mergeCells count="2">
    <mergeCell ref="B2:K2"/>
    <mergeCell ref="B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11" min="3" style="0" width="14"/>
  </cols>
  <sheetData>
    <row r="2" customFormat="false" ht="30" hidden="false" customHeight="true" outlineLevel="0" collapsed="false">
      <c r="B2" s="12" t="s">
        <v>126</v>
      </c>
      <c r="C2" s="12"/>
      <c r="D2" s="12"/>
      <c r="E2" s="12"/>
      <c r="F2" s="12"/>
      <c r="G2" s="12"/>
      <c r="H2" s="12"/>
      <c r="I2" s="12"/>
      <c r="J2" s="12"/>
      <c r="K2" s="12"/>
    </row>
    <row r="4" customFormat="false" ht="24.75" hidden="false" customHeight="true" outlineLevel="0" collapsed="false">
      <c r="B4" s="13" t="s">
        <v>127</v>
      </c>
      <c r="C4" s="13"/>
      <c r="D4" s="13"/>
      <c r="E4" s="13"/>
      <c r="F4" s="13"/>
      <c r="G4" s="13"/>
      <c r="H4" s="13"/>
      <c r="I4" s="13"/>
      <c r="J4" s="13"/>
      <c r="K4" s="13"/>
    </row>
    <row r="6" customFormat="false" ht="15" hidden="false" customHeight="false" outlineLevel="0" collapsed="false">
      <c r="B6" s="44" t="s">
        <v>128</v>
      </c>
      <c r="C6" s="45" t="n">
        <v>0.02</v>
      </c>
      <c r="D6" s="45" t="n">
        <v>0.03</v>
      </c>
      <c r="E6" s="45" t="n">
        <v>0.04</v>
      </c>
      <c r="F6" s="45" t="n">
        <v>0.05</v>
      </c>
      <c r="G6" s="45" t="n">
        <v>0.06</v>
      </c>
      <c r="H6" s="45" t="n">
        <v>0.07</v>
      </c>
      <c r="I6" s="45" t="n">
        <v>0.08</v>
      </c>
      <c r="J6" s="45" t="n">
        <v>0.09</v>
      </c>
    </row>
    <row r="7" customFormat="false" ht="15" hidden="false" customHeight="false" outlineLevel="0" collapsed="false">
      <c r="B7" s="46" t="n">
        <v>1</v>
      </c>
      <c r="C7" s="47" t="n">
        <f aca="false">SUMPRODUCT(Headcounts, AttrRates, AnnualSalaries) * (1+C$6)^3 * $B7</f>
        <v>14721531.0144041</v>
      </c>
      <c r="D7" s="47" t="n">
        <f aca="false">SUMPRODUCT(Headcounts, AttrRates, AnnualSalaries) * (1+D$6)^3 * $B7</f>
        <v>15158776.0559445</v>
      </c>
      <c r="E7" s="47" t="n">
        <f aca="false">SUMPRODUCT(Headcounts, AttrRates, AnnualSalaries) * (1+E$6)^3 * $B7</f>
        <v>15604594.2576636</v>
      </c>
      <c r="F7" s="47" t="n">
        <f aca="false">SUMPRODUCT(Headcounts, AttrRates, AnnualSalaries) * (1+F$6)^3 * $B7</f>
        <v>16059068.8541262</v>
      </c>
      <c r="G7" s="47" t="n">
        <f aca="false">SUMPRODUCT(Headcounts, AttrRates, AnnualSalaries) * (1+G$6)^3 * $B7</f>
        <v>16522283.0798972</v>
      </c>
      <c r="H7" s="47" t="n">
        <f aca="false">SUMPRODUCT(Headcounts, AttrRates, AnnualSalaries) * (1+H$6)^3 * $B7</f>
        <v>16994320.1695414</v>
      </c>
      <c r="I7" s="47" t="n">
        <f aca="false">SUMPRODUCT(Headcounts, AttrRates, AnnualSalaries) * (1+I$6)^3 * $B7</f>
        <v>17475263.3576236</v>
      </c>
      <c r="J7" s="47" t="n">
        <f aca="false">SUMPRODUCT(Headcounts, AttrRates, AnnualSalaries) * (1+J$6)^3 * $B7</f>
        <v>17965195.8787087</v>
      </c>
    </row>
    <row r="8" customFormat="false" ht="15" hidden="false" customHeight="false" outlineLevel="0" collapsed="false">
      <c r="B8" s="46" t="n">
        <v>1.25</v>
      </c>
      <c r="C8" s="47" t="n">
        <f aca="false">SUMPRODUCT(Headcounts, AttrRates, AnnualSalaries) * (1+C$6)^3 * $B8</f>
        <v>18401913.7680051</v>
      </c>
      <c r="D8" s="47" t="n">
        <f aca="false">SUMPRODUCT(Headcounts, AttrRates, AnnualSalaries) * (1+D$6)^3 * $B8</f>
        <v>18948470.0699306</v>
      </c>
      <c r="E8" s="47" t="n">
        <f aca="false">SUMPRODUCT(Headcounts, AttrRates, AnnualSalaries) * (1+E$6)^3 * $B8</f>
        <v>19505742.8220795</v>
      </c>
      <c r="F8" s="47" t="n">
        <f aca="false">SUMPRODUCT(Headcounts, AttrRates, AnnualSalaries) * (1+F$6)^3 * $B8</f>
        <v>20073836.0676578</v>
      </c>
      <c r="G8" s="47" t="n">
        <f aca="false">SUMPRODUCT(Headcounts, AttrRates, AnnualSalaries) * (1+G$6)^3 * $B8</f>
        <v>20652853.8498715</v>
      </c>
      <c r="H8" s="47" t="n">
        <f aca="false">SUMPRODUCT(Headcounts, AttrRates, AnnualSalaries) * (1+H$6)^3 * $B8</f>
        <v>21242900.2119267</v>
      </c>
      <c r="I8" s="47" t="n">
        <f aca="false">SUMPRODUCT(Headcounts, AttrRates, AnnualSalaries) * (1+I$6)^3 * $B8</f>
        <v>21844079.1970295</v>
      </c>
      <c r="J8" s="47" t="n">
        <f aca="false">SUMPRODUCT(Headcounts, AttrRates, AnnualSalaries) * (1+J$6)^3 * $B8</f>
        <v>22456494.8483859</v>
      </c>
    </row>
    <row r="9" customFormat="false" ht="15" hidden="false" customHeight="false" outlineLevel="0" collapsed="false">
      <c r="B9" s="46" t="n">
        <v>1.5</v>
      </c>
      <c r="C9" s="47" t="n">
        <f aca="false">SUMPRODUCT(Headcounts, AttrRates, AnnualSalaries) * (1+C$6)^3 * $B9</f>
        <v>22082296.5216062</v>
      </c>
      <c r="D9" s="47" t="n">
        <f aca="false">SUMPRODUCT(Headcounts, AttrRates, AnnualSalaries) * (1+D$6)^3 * $B9</f>
        <v>22738164.0839168</v>
      </c>
      <c r="E9" s="47" t="n">
        <f aca="false">SUMPRODUCT(Headcounts, AttrRates, AnnualSalaries) * (1+E$6)^3 * $B9</f>
        <v>23406891.3864954</v>
      </c>
      <c r="F9" s="47" t="n">
        <f aca="false">SUMPRODUCT(Headcounts, AttrRates, AnnualSalaries) * (1+F$6)^3 * $B9</f>
        <v>24088603.2811893</v>
      </c>
      <c r="G9" s="47" t="n">
        <f aca="false">SUMPRODUCT(Headcounts, AttrRates, AnnualSalaries) * (1+G$6)^3 * $B9</f>
        <v>24783424.6198458</v>
      </c>
      <c r="H9" s="47" t="n">
        <f aca="false">SUMPRODUCT(Headcounts, AttrRates, AnnualSalaries) * (1+H$6)^3 * $B9</f>
        <v>25491480.2543121</v>
      </c>
      <c r="I9" s="47" t="n">
        <f aca="false">SUMPRODUCT(Headcounts, AttrRates, AnnualSalaries) * (1+I$6)^3 * $B9</f>
        <v>26212895.0364354</v>
      </c>
      <c r="J9" s="47" t="n">
        <f aca="false">SUMPRODUCT(Headcounts, AttrRates, AnnualSalaries) * (1+J$6)^3 * $B9</f>
        <v>26947793.8180631</v>
      </c>
    </row>
    <row r="10" customFormat="false" ht="15" hidden="false" customHeight="false" outlineLevel="0" collapsed="false">
      <c r="B10" s="46" t="n">
        <v>1.75</v>
      </c>
      <c r="C10" s="47" t="n">
        <f aca="false">SUMPRODUCT(Headcounts, AttrRates, AnnualSalaries) * (1+C$6)^3 * $B10</f>
        <v>25762679.2752072</v>
      </c>
      <c r="D10" s="47" t="n">
        <f aca="false">SUMPRODUCT(Headcounts, AttrRates, AnnualSalaries) * (1+D$6)^3 * $B10</f>
        <v>26527858.0979029</v>
      </c>
      <c r="E10" s="47" t="n">
        <f aca="false">SUMPRODUCT(Headcounts, AttrRates, AnnualSalaries) * (1+E$6)^3 * $B10</f>
        <v>27308039.9509113</v>
      </c>
      <c r="F10" s="47" t="n">
        <f aca="false">SUMPRODUCT(Headcounts, AttrRates, AnnualSalaries) * (1+F$6)^3 * $B10</f>
        <v>28103370.4947209</v>
      </c>
      <c r="G10" s="47" t="n">
        <f aca="false">SUMPRODUCT(Headcounts, AttrRates, AnnualSalaries) * (1+G$6)^3 * $B10</f>
        <v>28913995.3898201</v>
      </c>
      <c r="H10" s="47" t="n">
        <f aca="false">SUMPRODUCT(Headcounts, AttrRates, AnnualSalaries) * (1+H$6)^3 * $B10</f>
        <v>29740060.2966974</v>
      </c>
      <c r="I10" s="47" t="n">
        <f aca="false">SUMPRODUCT(Headcounts, AttrRates, AnnualSalaries) * (1+I$6)^3 * $B10</f>
        <v>30581710.8758413</v>
      </c>
      <c r="J10" s="47" t="n">
        <f aca="false">SUMPRODUCT(Headcounts, AttrRates, AnnualSalaries) * (1+J$6)^3 * $B10</f>
        <v>31439092.7877403</v>
      </c>
    </row>
    <row r="11" customFormat="false" ht="15" hidden="false" customHeight="false" outlineLevel="0" collapsed="false">
      <c r="B11" s="46" t="n">
        <v>2</v>
      </c>
      <c r="C11" s="47" t="n">
        <f aca="false">SUMPRODUCT(Headcounts, AttrRates, AnnualSalaries) * (1+C$6)^3 * $B11</f>
        <v>29443062.0288082</v>
      </c>
      <c r="D11" s="47" t="n">
        <f aca="false">SUMPRODUCT(Headcounts, AttrRates, AnnualSalaries) * (1+D$6)^3 * $B11</f>
        <v>30317552.111889</v>
      </c>
      <c r="E11" s="47" t="n">
        <f aca="false">SUMPRODUCT(Headcounts, AttrRates, AnnualSalaries) * (1+E$6)^3 * $B11</f>
        <v>31209188.5153272</v>
      </c>
      <c r="F11" s="47" t="n">
        <f aca="false">SUMPRODUCT(Headcounts, AttrRates, AnnualSalaries) * (1+F$6)^3 * $B11</f>
        <v>32118137.7082524</v>
      </c>
      <c r="G11" s="47" t="n">
        <f aca="false">SUMPRODUCT(Headcounts, AttrRates, AnnualSalaries) * (1+G$6)^3 * $B11</f>
        <v>33044566.1597944</v>
      </c>
      <c r="H11" s="47" t="n">
        <f aca="false">SUMPRODUCT(Headcounts, AttrRates, AnnualSalaries) * (1+H$6)^3 * $B11</f>
        <v>33988640.3390827</v>
      </c>
      <c r="I11" s="47" t="n">
        <f aca="false">SUMPRODUCT(Headcounts, AttrRates, AnnualSalaries) * (1+I$6)^3 * $B11</f>
        <v>34950526.7152472</v>
      </c>
      <c r="J11" s="47" t="n">
        <f aca="false">SUMPRODUCT(Headcounts, AttrRates, AnnualSalaries) * (1+J$6)^3 * $B11</f>
        <v>35930391.7574175</v>
      </c>
    </row>
  </sheetData>
  <mergeCells count="2">
    <mergeCell ref="B2:K2"/>
    <mergeCell ref="B4:K4"/>
  </mergeCells>
  <conditionalFormatting sqref="C7:J1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22"/>
  </cols>
  <sheetData>
    <row r="2" customFormat="false" ht="30" hidden="false" customHeight="true" outlineLevel="0" collapsed="false">
      <c r="B2" s="12" t="s">
        <v>129</v>
      </c>
      <c r="C2" s="12"/>
      <c r="D2" s="12"/>
      <c r="E2" s="12"/>
    </row>
    <row r="4" customFormat="false" ht="15" hidden="false" customHeight="false" outlineLevel="0" collapsed="false">
      <c r="B4" s="14" t="s">
        <v>130</v>
      </c>
      <c r="C4" s="14" t="s">
        <v>101</v>
      </c>
      <c r="D4" s="14" t="s">
        <v>102</v>
      </c>
      <c r="E4" s="14" t="s">
        <v>103</v>
      </c>
    </row>
    <row r="5" customFormat="false" ht="15" hidden="false" customHeight="false" outlineLevel="0" collapsed="false">
      <c r="B5" s="9" t="s">
        <v>131</v>
      </c>
      <c r="C5" s="41" t="n">
        <f aca="false">(Headcount!C7*(Headcount!D7)*Headcount!E7*((1+WageInfl_Base)^4-1)/WageInfl_Base+Headcount!C8*(Headcount!D8+0)*Headcount!E8*((1+WageInfl_Base)^4-1)/WageInfl_Base+Headcount!C9*(Headcount!D9+0)*Headcount!E9*((1+WageInfl_Base)^4-1)/WageInfl_Base+Headcount!C10*(Headcount!D10+0)*Headcount!E10*((1+WageInfl_Base)^4-1)/WageInfl_Base+Headcount!C11*(Headcount!D11+0)*Headcount!E11*((1+WageInfl_Base)^4-1)/WageInfl_Base)*Replace_Mult</f>
        <v>88363145.7888801</v>
      </c>
      <c r="D5" s="41" t="n">
        <f aca="false">(Headcount!C7*(Headcount!D7+Attr_Rise_Infl)*Headcount!E7*((1+WageInfl_High)^4-1)/WageInfl_High+Headcount!C8*(Headcount!D8+Attr_Rise_Infl)*Headcount!E8*((1+WageInfl_High)^4-1)/WageInfl_High+Headcount!C9*(Headcount!D9+Attr_Rise_Infl)*Headcount!E9*((1+WageInfl_High)^4-1)/WageInfl_High+Headcount!C10*(Headcount!D10+Attr_Rise_Infl)*Headcount!E10*((1+WageInfl_High)^4-1)/WageInfl_High+Headcount!C11*(Headcount!D11+Attr_Rise_Infl)*Headcount!E11*((1+WageInfl_High)^4-1)/WageInfl_High)*Replace_Mult</f>
        <v>107599906.659089</v>
      </c>
      <c r="E5" s="41" t="n">
        <f aca="false">(Headcount!C7*(Target_Attr_L1)*Headcount!E7*((1+WageInfl_Base)^4-1)/WageInfl_Base+Headcount!C8*(Headcount!D8+0)*Headcount!E8*((1+WageInfl_Base)^4-1)/WageInfl_Base+Headcount!C9*(Headcount!D9+0)*Headcount!E9*((1+WageInfl_Base)^4-1)/WageInfl_Base+Headcount!C10*(Headcount!D10+0)*Headcount!E10*((1+WageInfl_Base)^4-1)/WageInfl_Base+Headcount!C11*(Headcount!D11+0)*Headcount!E11*((1+WageInfl_Base)^4-1)/WageInfl_Base)*Replace_Mult</f>
        <v>75796363.3271603</v>
      </c>
    </row>
    <row r="6" customFormat="false" ht="15" hidden="false" customHeight="false" outlineLevel="0" collapsed="false">
      <c r="B6" s="9" t="s">
        <v>132</v>
      </c>
      <c r="C6" s="18" t="n">
        <v>0</v>
      </c>
      <c r="D6" s="18" t="n">
        <v>0</v>
      </c>
      <c r="E6" s="41" t="n">
        <f aca="false">Headcount!C7*Retention_Invest*4</f>
        <v>10860000</v>
      </c>
    </row>
    <row r="7" customFormat="false" ht="15" hidden="false" customHeight="false" outlineLevel="0" collapsed="false">
      <c r="B7" s="42" t="s">
        <v>133</v>
      </c>
      <c r="C7" s="43" t="n">
        <f aca="false">C5+C6</f>
        <v>88363145.7888801</v>
      </c>
      <c r="D7" s="43" t="n">
        <f aca="false">D5+D6</f>
        <v>107599906.659089</v>
      </c>
      <c r="E7" s="43" t="n">
        <f aca="false">E5+E6</f>
        <v>86656363.3271603</v>
      </c>
    </row>
    <row r="8" customFormat="false" ht="15" hidden="false" customHeight="false" outlineLevel="0" collapsed="false">
      <c r="B8" s="9" t="s">
        <v>134</v>
      </c>
      <c r="C8" s="48" t="n">
        <v>0</v>
      </c>
      <c r="D8" s="49" t="n">
        <f aca="false">D7-C7</f>
        <v>19236760.8702091</v>
      </c>
      <c r="E8" s="49" t="n">
        <f aca="false">E7-C7</f>
        <v>-1706782.46171983</v>
      </c>
    </row>
    <row r="11" customFormat="false" ht="21.75" hidden="false" customHeight="true" outlineLevel="0" collapsed="false">
      <c r="B11" s="3" t="s">
        <v>135</v>
      </c>
      <c r="C11" s="3"/>
      <c r="D11" s="3"/>
      <c r="E11" s="3"/>
    </row>
    <row r="12" customFormat="false" ht="49.5" hidden="false" customHeight="true" outlineLevel="0" collapsed="false">
      <c r="B12" s="9" t="s">
        <v>136</v>
      </c>
      <c r="C12" s="4" t="s">
        <v>137</v>
      </c>
      <c r="D12" s="4"/>
      <c r="E12" s="4"/>
    </row>
    <row r="13" customFormat="false" ht="49.5" hidden="false" customHeight="true" outlineLevel="0" collapsed="false">
      <c r="B13" s="9" t="s">
        <v>138</v>
      </c>
      <c r="C13" s="4" t="s">
        <v>139</v>
      </c>
      <c r="D13" s="4"/>
      <c r="E13" s="4"/>
    </row>
    <row r="14" customFormat="false" ht="49.5" hidden="false" customHeight="true" outlineLevel="0" collapsed="false">
      <c r="B14" s="9" t="s">
        <v>140</v>
      </c>
      <c r="C14" s="4" t="s">
        <v>141</v>
      </c>
      <c r="D14" s="4"/>
      <c r="E14" s="4"/>
    </row>
    <row r="15" customFormat="false" ht="49.5" hidden="false" customHeight="true" outlineLevel="0" collapsed="false">
      <c r="B15" s="9" t="s">
        <v>142</v>
      </c>
      <c r="C15" s="4" t="s">
        <v>143</v>
      </c>
      <c r="D15" s="4"/>
      <c r="E15" s="4"/>
    </row>
  </sheetData>
  <mergeCells count="6">
    <mergeCell ref="B2:E2"/>
    <mergeCell ref="B11:E11"/>
    <mergeCell ref="C12:E12"/>
    <mergeCell ref="C13:E13"/>
    <mergeCell ref="C14:E14"/>
    <mergeCell ref="C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2026-05-06T08:33:22Z</dcterms:created>
  <dc:creator>openpyxl</dc:creator>
  <dc:description/>
  <dc:language>en-US</dc:language>
  <cp:lastModifiedBy/>
  <dcterms:modified xsi:type="dcterms:W3CDTF">2026-05-06T08:33:22Z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